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إزاي تملاه" sheetId="1" state="visible" r:id="rId3"/>
    <sheet name="الطلبات" sheetId="2" state="visible" r:id="rId4"/>
    <sheet name="الدفعات" sheetId="3" state="visible" r:id="rId5"/>
    <sheet name="الأعطال والغاز" sheetId="4" state="visible" r:id="rId6"/>
    <sheet name="الشكاوى" sheetId="5" state="visible" r:id="rId7"/>
    <sheet name="الملخص" sheetId="6" state="visible" r:id="rId8"/>
    <sheet name="القوائم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<sst xmlns="http://schemas.openxmlformats.org/spreadsheetml/2006/main" count="841" uniqueCount="176">
  <si>
    <t xml:space="preserve">سجل المصنع اليومي</t>
  </si>
  <si>
    <t xml:space="preserve">الهدف: أسبوعين على الأقل من الشغل الحقيقي، عشان نبني الجدولة على أرقامكم مش على تخمين.</t>
  </si>
  <si>
    <t xml:space="preserve">إزاي تملاه</t>
  </si>
  <si>
    <t xml:space="preserve">• الخانات الصفرا بتتملي. الخانات الرمادي بتتحسب لوحدها، ما تكتبش فيها.</t>
  </si>
  <si>
    <t xml:space="preserve">• السطر الأخضر (رقم 3) مثال بس. سيبه زي ما هو واكتب من السطر 4.</t>
  </si>
  <si>
    <t xml:space="preserve">• الخانات اللي فيها سهم: اختار من القائمة.</t>
  </si>
  <si>
    <t xml:space="preserve">• التاريخ يتكتب كده: 2026-10-20. والساعة كده: 14:30.</t>
  </si>
  <si>
    <t xml:space="preserve">كل تاب بيتملي إمتى ومين</t>
  </si>
  <si>
    <t xml:space="preserve">• الطلبات: أول ما الطلب ييجي (حتى لو اترفض أو ما اتسلمش). ولما يتسلم، اكتب يوم التسليم والحالة.</t>
  </si>
  <si>
    <t xml:space="preserve">• الدفعات: المحمّص بعد كل دفعة: الوزن قبل وبعد، والساعة، ودرجة الغاز.</t>
  </si>
  <si>
    <t xml:space="preserve">• الأعطال والغاز: أي وقفة، وأي تغيير أنبوبة، وأي غياب.</t>
  </si>
  <si>
    <t xml:space="preserve">• الشكاوى: كل شكوى، ومعاها تاريخ الدفعة لو معروف.</t>
  </si>
  <si>
    <t xml:space="preserve">أهم 3 حاجات</t>
  </si>
  <si>
    <t xml:space="preserve">1. الطلبات اللي اترفضت أو اتأخرت: دي أهم حاجة. اكتب السبب في الملاحظات.</t>
  </si>
  <si>
    <t xml:space="preserve">2. الوزن قبل وبعد التحميص: من غيره ما نعرفش الفاقد الحقيقي.</t>
  </si>
  <si>
    <t xml:space="preserve">3. ما تستناش لآخر اليوم: اكتب أول بأول، حتى لو سطر ناقص.</t>
  </si>
  <si>
    <t xml:space="preserve">الملف ده بتاعكم. أسماء العملاء بتفضل عندكم، وإحنا بنحتاج الأرقام بس.</t>
  </si>
  <si>
    <t xml:space="preserve">سجل الطلبات: كل طلب في سطر، حتى اللي اترفض</t>
  </si>
  <si>
    <t xml:space="preserve">تاريخ الطلب</t>
  </si>
  <si>
    <t xml:space="preserve">العميل (اسم أو كود)</t>
  </si>
  <si>
    <t xml:space="preserve">نوع العميل</t>
  </si>
  <si>
    <t xml:space="preserve">الخلطة</t>
  </si>
  <si>
    <t xml:space="preserve">بهيل؟</t>
  </si>
  <si>
    <t xml:space="preserve">حب ولا مطحون</t>
  </si>
  <si>
    <t xml:space="preserve">درجة التحميص</t>
  </si>
  <si>
    <t xml:space="preserve">الكمية (كيلو)</t>
  </si>
  <si>
    <t xml:space="preserve">مطلوب يوم</t>
  </si>
  <si>
    <t xml:space="preserve">اتسلم يوم</t>
  </si>
  <si>
    <t xml:space="preserve">الحالة</t>
  </si>
  <si>
    <t xml:space="preserve">اتأخر كام يوم</t>
  </si>
  <si>
    <t xml:space="preserve">ملاحظات (ليه اتأخر أو اترفض؟)</t>
  </si>
  <si>
    <t xml:space="preserve">محل أ</t>
  </si>
  <si>
    <t xml:space="preserve">محل</t>
  </si>
  <si>
    <t xml:space="preserve">190</t>
  </si>
  <si>
    <t xml:space="preserve">أيوه</t>
  </si>
  <si>
    <t xml:space="preserve">مطحون</t>
  </si>
  <si>
    <t xml:space="preserve">وسط</t>
  </si>
  <si>
    <t xml:space="preserve">اتسلم</t>
  </si>
  <si>
    <t xml:space="preserve">مثال: المحمصة كانت مشغولة بأوردر تحميص</t>
  </si>
  <si>
    <t xml:space="preserve">محل الفردوس</t>
  </si>
  <si>
    <t xml:space="preserve">طلبات الموقع</t>
  </si>
  <si>
    <t xml:space="preserve">أونلاين</t>
  </si>
  <si>
    <t xml:space="preserve">250</t>
  </si>
  <si>
    <t xml:space="preserve">سوبر ماركت الهدى</t>
  </si>
  <si>
    <t xml:space="preserve">سوبر ماركت</t>
  </si>
  <si>
    <t xml:space="preserve">محل السلام</t>
  </si>
  <si>
    <t xml:space="preserve">محل الأمانة</t>
  </si>
  <si>
    <t xml:space="preserve">كافيه سمر</t>
  </si>
  <si>
    <t xml:space="preserve">كافيه</t>
  </si>
  <si>
    <t xml:space="preserve">300</t>
  </si>
  <si>
    <t xml:space="preserve">لأ</t>
  </si>
  <si>
    <t xml:space="preserve">حب</t>
  </si>
  <si>
    <t xml:space="preserve">غامق</t>
  </si>
  <si>
    <t xml:space="preserve">بن البركة</t>
  </si>
  <si>
    <t xml:space="preserve">عميل تصدير (الكويت)</t>
  </si>
  <si>
    <t xml:space="preserve">تصدير</t>
  </si>
  <si>
    <t xml:space="preserve">المحمصة كانت مشغولة بأوردرات قبله</t>
  </si>
  <si>
    <t xml:space="preserve">ماركة بن الريف</t>
  </si>
  <si>
    <t xml:space="preserve">تحميص لحساب الغير</t>
  </si>
  <si>
    <t xml:space="preserve">بن العميل</t>
  </si>
  <si>
    <t xml:space="preserve">قدّمنا أوردرات المحلات عليه</t>
  </si>
  <si>
    <t xml:space="preserve">محل النور</t>
  </si>
  <si>
    <t xml:space="preserve">بن الحرمين</t>
  </si>
  <si>
    <t xml:space="preserve">سوبر ماركت المدينة</t>
  </si>
  <si>
    <t xml:space="preserve">اترفض</t>
  </si>
  <si>
    <t xml:space="preserve">المحمصة مليانة الأسبوع ده، والكمية كبيرة</t>
  </si>
  <si>
    <t xml:space="preserve">اتأخر بسبب عطل البكرة</t>
  </si>
  <si>
    <t xml:space="preserve">لسه</t>
  </si>
  <si>
    <t xml:space="preserve">ماركة قهوة زمان</t>
  </si>
  <si>
    <t xml:space="preserve">سعودي</t>
  </si>
  <si>
    <t xml:space="preserve">أشقر</t>
  </si>
  <si>
    <t xml:space="preserve">سجل الدفعات: كل دفعة تحميص في سطر</t>
  </si>
  <si>
    <t xml:space="preserve">التاريخ</t>
  </si>
  <si>
    <t xml:space="preserve">بدأت الساعة</t>
  </si>
  <si>
    <t xml:space="preserve">خلصت الساعة</t>
  </si>
  <si>
    <t xml:space="preserve">المحمصة</t>
  </si>
  <si>
    <t xml:space="preserve">نوع البن</t>
  </si>
  <si>
    <t xml:space="preserve">الوزن قبل (أخضر، كيلو)</t>
  </si>
  <si>
    <t xml:space="preserve">الوزن بعد (محمّص، كيلو)</t>
  </si>
  <si>
    <t xml:space="preserve">الفاقد</t>
  </si>
  <si>
    <t xml:space="preserve">المدة (دقيقة)</t>
  </si>
  <si>
    <t xml:space="preserve">الغاز (الدرجة أو الضغط)</t>
  </si>
  <si>
    <t xml:space="preserve">المحمّص</t>
  </si>
  <si>
    <t xml:space="preserve">لـ</t>
  </si>
  <si>
    <t xml:space="preserve">ملاحظات (اللون، الطعم، أي مشكلة)</t>
  </si>
  <si>
    <t xml:space="preserve">برازيلي</t>
  </si>
  <si>
    <t xml:space="preserve">3</t>
  </si>
  <si>
    <t xml:space="preserve">أحمد</t>
  </si>
  <si>
    <t xml:space="preserve">أوردر</t>
  </si>
  <si>
    <t xml:space="preserve">مثال: اللون أغمق شوية من العادي</t>
  </si>
  <si>
    <t xml:space="preserve">روبستا</t>
  </si>
  <si>
    <t xml:space="preserve">4</t>
  </si>
  <si>
    <t xml:space="preserve">3.5</t>
  </si>
  <si>
    <t xml:space="preserve">كولومبي</t>
  </si>
  <si>
    <t xml:space="preserve">محمود</t>
  </si>
  <si>
    <t xml:space="preserve">هندي</t>
  </si>
  <si>
    <t xml:space="preserve">مخزن</t>
  </si>
  <si>
    <t xml:space="preserve">4.5</t>
  </si>
  <si>
    <t xml:space="preserve">اللون أغمق من العادي</t>
  </si>
  <si>
    <t xml:space="preserve">التبريد أخد وقت</t>
  </si>
  <si>
    <t xml:space="preserve">استنينا البن يوصل من المخزن</t>
  </si>
  <si>
    <t xml:space="preserve">الأعطال وتغيير الغاز وأي وقفة</t>
  </si>
  <si>
    <t xml:space="preserve">الساعة</t>
  </si>
  <si>
    <t xml:space="preserve">إيه اللي حصل</t>
  </si>
  <si>
    <t xml:space="preserve">الماكينة</t>
  </si>
  <si>
    <t xml:space="preserve">وقف قد إيه (ساعات)</t>
  </si>
  <si>
    <t xml:space="preserve">الدفعة باظت؟</t>
  </si>
  <si>
    <t xml:space="preserve">ملاحظات</t>
  </si>
  <si>
    <t xml:space="preserve">تغيير أنبوبة غاز</t>
  </si>
  <si>
    <t xml:space="preserve">مثال: ركّبنا الاحتياطي وطلبنا جديدة</t>
  </si>
  <si>
    <t xml:space="preserve">ركّبنا الاحتياطي وطلبنا جديدة</t>
  </si>
  <si>
    <t xml:space="preserve">عطل</t>
  </si>
  <si>
    <t xml:space="preserve">بكرة البرميل اتكسرت، استنينا القطعة من القاهرة</t>
  </si>
  <si>
    <t xml:space="preserve">الشكاوى: كل شكوى مع تاريخ الدفعة</t>
  </si>
  <si>
    <t xml:space="preserve">العميل</t>
  </si>
  <si>
    <t xml:space="preserve">تاريخ تحميص الدفعة (لو معروف)</t>
  </si>
  <si>
    <t xml:space="preserve">الشكوى</t>
  </si>
  <si>
    <t xml:space="preserve">العميل بيخزّن إزاي وقد إيه</t>
  </si>
  <si>
    <t xml:space="preserve">كافيه ب</t>
  </si>
  <si>
    <t xml:space="preserve">مُر</t>
  </si>
  <si>
    <t xml:space="preserve">في علبة مفتوحة، أسبوعين</t>
  </si>
  <si>
    <t xml:space="preserve">مثال</t>
  </si>
  <si>
    <t xml:space="preserve">الهيل كتير</t>
  </si>
  <si>
    <t xml:space="preserve">قال الطعم مختلف عن الشهر اللي فات</t>
  </si>
  <si>
    <t xml:space="preserve">كيس مفتوح، 10 أيام</t>
  </si>
  <si>
    <t xml:space="preserve">اللون كان غامق</t>
  </si>
  <si>
    <t xml:space="preserve">كافيه ركن القهوة</t>
  </si>
  <si>
    <t xml:space="preserve">خفيف</t>
  </si>
  <si>
    <t xml:space="preserve">كيس مفتوح، 3 أسابيع</t>
  </si>
  <si>
    <t xml:space="preserve">التخزين طويل</t>
  </si>
  <si>
    <t xml:space="preserve">ملخص تلقائي (من غير سطر المثال)</t>
  </si>
  <si>
    <t xml:space="preserve">الطلبات</t>
  </si>
  <si>
    <t xml:space="preserve">عدد الطلبات</t>
  </si>
  <si>
    <t xml:space="preserve">إجمالي الكيلوهات المطلوبة</t>
  </si>
  <si>
    <t xml:space="preserve">كيلوهات اترفضت</t>
  </si>
  <si>
    <t xml:space="preserve">طلبات اتأخرت (يوم أو أكتر)</t>
  </si>
  <si>
    <t xml:space="preserve">نسبة الطلبات المتأخرة (من اللي اتسلمت)</t>
  </si>
  <si>
    <t xml:space="preserve">متوسط التأخير للمتأخر (يوم)</t>
  </si>
  <si>
    <t xml:space="preserve">كيلوهات تحميص لحساب الغير</t>
  </si>
  <si>
    <t xml:space="preserve">الدفعات</t>
  </si>
  <si>
    <t xml:space="preserve">عدد الدفعات</t>
  </si>
  <si>
    <t xml:space="preserve">كيلو أخضر اتحمّص</t>
  </si>
  <si>
    <t xml:space="preserve">متوسط وزن الدفعة (كيلو)</t>
  </si>
  <si>
    <t xml:space="preserve">متوسط الفاقد: أشقر</t>
  </si>
  <si>
    <t xml:space="preserve">متوسط الفاقد: وسط</t>
  </si>
  <si>
    <t xml:space="preserve">متوسط الفاقد: غامق</t>
  </si>
  <si>
    <t xml:space="preserve">متوسط مدة الدفعة (دقيقة)</t>
  </si>
  <si>
    <t xml:space="preserve">الوقفات والشكاوى</t>
  </si>
  <si>
    <t xml:space="preserve">ساعات وقوف من الأعطال</t>
  </si>
  <si>
    <t xml:space="preserve">عدد مرات تغيير الغاز</t>
  </si>
  <si>
    <t xml:space="preserve">عدد الشكاوى</t>
  </si>
  <si>
    <t xml:space="preserve">cust_type</t>
  </si>
  <si>
    <t xml:space="preserve">blend</t>
  </si>
  <si>
    <t xml:space="preserve">yesno</t>
  </si>
  <si>
    <t xml:space="preserve">form</t>
  </si>
  <si>
    <t xml:space="preserve">roast</t>
  </si>
  <si>
    <t xml:space="preserve">status</t>
  </si>
  <si>
    <t xml:space="preserve">origin</t>
  </si>
  <si>
    <t xml:space="preserve">dest</t>
  </si>
  <si>
    <t xml:space="preserve">event</t>
  </si>
  <si>
    <t xml:space="preserve">machine</t>
  </si>
  <si>
    <t xml:space="preserve">complaint</t>
  </si>
  <si>
    <t xml:space="preserve">اتسلم ناقص</t>
  </si>
  <si>
    <t xml:space="preserve">المطحنة</t>
  </si>
  <si>
    <t xml:space="preserve">اتأجل</t>
  </si>
  <si>
    <t xml:space="preserve">الغاز خلص</t>
  </si>
  <si>
    <t xml:space="preserve">التغليف</t>
  </si>
  <si>
    <t xml:space="preserve">محروق</t>
  </si>
  <si>
    <t xml:space="preserve">انقطاع كهرباء</t>
  </si>
  <si>
    <t xml:space="preserve">الشفاط/التبريد</t>
  </si>
  <si>
    <t xml:space="preserve">حامض</t>
  </si>
  <si>
    <t xml:space="preserve">غياب عامل</t>
  </si>
  <si>
    <t xml:space="preserve">تاني</t>
  </si>
  <si>
    <t xml:space="preserve">مختلف عن المرة اللي فاتت</t>
  </si>
  <si>
    <t xml:space="preserve">تنظيف المطحنة</t>
  </si>
  <si>
    <t xml:space="preserve">الهيل قليل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</si>
</sst>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General"/>
    <numFmt numFmtId="167" formatCode="hh:mm"/>
    <numFmt numFmtId="168" formatCode="0.0%"/>
    <numFmt numFmtId="169" formatCode="0"/>
    <numFmt numFmtId="170" formatCode="#,##0"/>
    <numFmt numFmtId="171" formatCode="0%"/>
    <numFmt numFmtId="172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5B3A29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5B3A2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B3A29"/>
        <bgColor rgb="FF555555"/>
      </patternFill>
    </fill>
    <fill>
      <patternFill patternType="solid">
        <fgColor rgb="FFE3F0E3"/>
        <bgColor rgb="FFEDEDED"/>
      </patternFill>
    </fill>
    <fill>
      <patternFill patternType="solid">
        <fgColor rgb="FFFFF7D6"/>
        <bgColor rgb="FFEDEDED"/>
      </patternFill>
    </fill>
    <fill>
      <patternFill patternType="solid">
        <fgColor rgb="FFEDEDED"/>
        <bgColor rgb="FFE3F0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7D6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0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B3A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.75" hidden="false" customHeight="true" outlineLevel="0" collapsed="false">
      <c r="A4" s="2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/>
    </row>
    <row r="10" customFormat="false" ht="15.75" hidden="false" customHeight="true" outlineLevel="0" collapsed="false">
      <c r="A10" s="2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/>
    </row>
    <row r="16" customFormat="false" ht="15.75" hidden="false" customHeight="true" outlineLevel="0" collapsed="false">
      <c r="A16" s="2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8"/>
    <col collapsed="false" customWidth="true" hidden="false" outlineLevel="0" max="8" min="6" style="1" width="11"/>
    <col collapsed="false" customWidth="true" hidden="false" outlineLevel="0" max="10" min="9" style="1" width="13"/>
    <col collapsed="false" customWidth="true" hidden="false" outlineLevel="0" max="11" min="11" style="1" width="12"/>
    <col collapsed="false" customWidth="true" hidden="false" outlineLevel="0" max="12" min="12" style="1" width="11"/>
    <col collapsed="false" customWidth="true" hidden="false" outlineLevel="0" max="13" min="13" style="1" width="32"/>
  </cols>
  <sheetData>
    <row r="1" customFormat="false" ht="15" hidden="false" customHeight="true" outlineLevel="0" collapsed="false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33.75" hidden="false" customHeight="true" outlineLevel="0" collapsed="false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</row>
    <row r="3" customFormat="false" ht="15" hidden="false" customHeight="true" outlineLevel="0" collapsed="false">
      <c r="A3" s="6" t="n">
        <v>46315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35</v>
      </c>
      <c r="G3" s="7" t="s">
        <v>36</v>
      </c>
      <c r="H3" s="7" t="n">
        <v>25</v>
      </c>
      <c r="I3" s="6" t="n">
        <v>46316</v>
      </c>
      <c r="J3" s="6" t="n">
        <v>46317</v>
      </c>
      <c r="K3" s="7" t="s">
        <v>37</v>
      </c>
      <c r="L3" s="7" t="n">
        <f aca="false">IF(OR(I3="",J3=""),"",MAX(0,J3-I3))</f>
        <v>1</v>
      </c>
      <c r="M3" s="7" t="s">
        <v>38</v>
      </c>
    </row>
    <row r="4" customFormat="false" ht="15" hidden="false" customHeight="true" outlineLevel="0" collapsed="false">
      <c r="A4" s="8" t="n">
        <v>46298</v>
      </c>
      <c r="B4" s="9" t="s">
        <v>39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36</v>
      </c>
      <c r="H4" s="9" t="n">
        <v>20</v>
      </c>
      <c r="I4" s="8" t="n">
        <v>46299</v>
      </c>
      <c r="J4" s="8" t="n">
        <v>46298</v>
      </c>
      <c r="K4" s="9" t="s">
        <v>37</v>
      </c>
      <c r="L4" s="10" t="n">
        <f aca="false">IF(OR(I4="",J4=""),"",MAX(0,J4-I4))</f>
        <v>0</v>
      </c>
      <c r="M4" s="9"/>
    </row>
    <row r="5" customFormat="false" ht="15" hidden="false" customHeight="true" outlineLevel="0" collapsed="false">
      <c r="A5" s="8" t="n">
        <v>46298</v>
      </c>
      <c r="B5" s="9" t="s">
        <v>40</v>
      </c>
      <c r="C5" s="9" t="s">
        <v>41</v>
      </c>
      <c r="D5" s="9" t="s">
        <v>42</v>
      </c>
      <c r="E5" s="9" t="s">
        <v>34</v>
      </c>
      <c r="F5" s="9" t="s">
        <v>35</v>
      </c>
      <c r="G5" s="9" t="s">
        <v>36</v>
      </c>
      <c r="H5" s="9" t="n">
        <v>8</v>
      </c>
      <c r="I5" s="8" t="n">
        <v>46300</v>
      </c>
      <c r="J5" s="8" t="n">
        <v>46299</v>
      </c>
      <c r="K5" s="9" t="s">
        <v>37</v>
      </c>
      <c r="L5" s="10" t="n">
        <f aca="false">IF(OR(I5="",J5=""),"",MAX(0,J5-I5))</f>
        <v>0</v>
      </c>
      <c r="M5" s="9"/>
    </row>
    <row r="6" customFormat="false" ht="15" hidden="false" customHeight="true" outlineLevel="0" collapsed="false">
      <c r="A6" s="8" t="n">
        <v>46299</v>
      </c>
      <c r="B6" s="9" t="s">
        <v>43</v>
      </c>
      <c r="C6" s="9" t="s">
        <v>44</v>
      </c>
      <c r="D6" s="9" t="s">
        <v>33</v>
      </c>
      <c r="E6" s="9" t="s">
        <v>34</v>
      </c>
      <c r="F6" s="9" t="s">
        <v>35</v>
      </c>
      <c r="G6" s="9" t="s">
        <v>36</v>
      </c>
      <c r="H6" s="9" t="n">
        <v>60</v>
      </c>
      <c r="I6" s="8" t="n">
        <v>46302</v>
      </c>
      <c r="J6" s="8" t="n">
        <v>46300</v>
      </c>
      <c r="K6" s="9" t="s">
        <v>37</v>
      </c>
      <c r="L6" s="10" t="n">
        <f aca="false">IF(OR(I6="",J6=""),"",MAX(0,J6-I6))</f>
        <v>0</v>
      </c>
      <c r="M6" s="9"/>
    </row>
    <row r="7" customFormat="false" ht="15" hidden="false" customHeight="true" outlineLevel="0" collapsed="false">
      <c r="A7" s="8" t="n">
        <v>46299</v>
      </c>
      <c r="B7" s="9" t="s">
        <v>45</v>
      </c>
      <c r="C7" s="9" t="s">
        <v>32</v>
      </c>
      <c r="D7" s="9" t="s">
        <v>33</v>
      </c>
      <c r="E7" s="9" t="s">
        <v>34</v>
      </c>
      <c r="F7" s="9" t="s">
        <v>35</v>
      </c>
      <c r="G7" s="9" t="s">
        <v>36</v>
      </c>
      <c r="H7" s="9" t="n">
        <v>30</v>
      </c>
      <c r="I7" s="8" t="n">
        <v>46300</v>
      </c>
      <c r="J7" s="8" t="n">
        <v>46300</v>
      </c>
      <c r="K7" s="9" t="s">
        <v>37</v>
      </c>
      <c r="L7" s="10" t="n">
        <f aca="false">IF(OR(I7="",J7=""),"",MAX(0,J7-I7))</f>
        <v>0</v>
      </c>
      <c r="M7" s="9"/>
    </row>
    <row r="8" customFormat="false" ht="15" hidden="false" customHeight="true" outlineLevel="0" collapsed="false">
      <c r="A8" s="8" t="n">
        <v>46299</v>
      </c>
      <c r="B8" s="9" t="s">
        <v>46</v>
      </c>
      <c r="C8" s="9" t="s">
        <v>32</v>
      </c>
      <c r="D8" s="9" t="s">
        <v>33</v>
      </c>
      <c r="E8" s="9" t="s">
        <v>34</v>
      </c>
      <c r="F8" s="9" t="s">
        <v>35</v>
      </c>
      <c r="G8" s="9" t="s">
        <v>36</v>
      </c>
      <c r="H8" s="9" t="n">
        <v>20</v>
      </c>
      <c r="I8" s="8" t="n">
        <v>46300</v>
      </c>
      <c r="J8" s="8" t="n">
        <v>46300</v>
      </c>
      <c r="K8" s="9" t="s">
        <v>37</v>
      </c>
      <c r="L8" s="10" t="n">
        <f aca="false">IF(OR(I8="",J8=""),"",MAX(0,J8-I8))</f>
        <v>0</v>
      </c>
      <c r="M8" s="9"/>
    </row>
    <row r="9" customFormat="false" ht="15" hidden="false" customHeight="true" outlineLevel="0" collapsed="false">
      <c r="A9" s="8" t="n">
        <v>46299</v>
      </c>
      <c r="B9" s="9" t="s">
        <v>40</v>
      </c>
      <c r="C9" s="9" t="s">
        <v>41</v>
      </c>
      <c r="D9" s="9" t="s">
        <v>42</v>
      </c>
      <c r="E9" s="9" t="s">
        <v>34</v>
      </c>
      <c r="F9" s="9" t="s">
        <v>35</v>
      </c>
      <c r="G9" s="9" t="s">
        <v>36</v>
      </c>
      <c r="H9" s="9" t="n">
        <v>6</v>
      </c>
      <c r="I9" s="8" t="n">
        <v>46301</v>
      </c>
      <c r="J9" s="8" t="n">
        <v>46300</v>
      </c>
      <c r="K9" s="9" t="s">
        <v>37</v>
      </c>
      <c r="L9" s="10" t="n">
        <f aca="false">IF(OR(I9="",J9=""),"",MAX(0,J9-I9))</f>
        <v>0</v>
      </c>
      <c r="M9" s="9"/>
    </row>
    <row r="10" customFormat="false" ht="15" hidden="false" customHeight="true" outlineLevel="0" collapsed="false">
      <c r="A10" s="8" t="n">
        <v>46300</v>
      </c>
      <c r="B10" s="9" t="s">
        <v>47</v>
      </c>
      <c r="C10" s="9" t="s">
        <v>48</v>
      </c>
      <c r="D10" s="9" t="s">
        <v>49</v>
      </c>
      <c r="E10" s="9" t="s">
        <v>50</v>
      </c>
      <c r="F10" s="9" t="s">
        <v>51</v>
      </c>
      <c r="G10" s="9" t="s">
        <v>52</v>
      </c>
      <c r="H10" s="9" t="n">
        <v>20</v>
      </c>
      <c r="I10" s="8" t="n">
        <v>46302</v>
      </c>
      <c r="J10" s="8" t="n">
        <v>46300</v>
      </c>
      <c r="K10" s="9" t="s">
        <v>37</v>
      </c>
      <c r="L10" s="10" t="n">
        <f aca="false">IF(OR(I10="",J10=""),"",MAX(0,J10-I10))</f>
        <v>0</v>
      </c>
      <c r="M10" s="9"/>
    </row>
    <row r="11" customFormat="false" ht="15" hidden="false" customHeight="true" outlineLevel="0" collapsed="false">
      <c r="A11" s="8" t="n">
        <v>46300</v>
      </c>
      <c r="B11" s="9" t="s">
        <v>53</v>
      </c>
      <c r="C11" s="9" t="s">
        <v>32</v>
      </c>
      <c r="D11" s="9" t="s">
        <v>42</v>
      </c>
      <c r="E11" s="9" t="s">
        <v>50</v>
      </c>
      <c r="F11" s="9" t="s">
        <v>35</v>
      </c>
      <c r="G11" s="9" t="s">
        <v>36</v>
      </c>
      <c r="H11" s="9" t="n">
        <v>20</v>
      </c>
      <c r="I11" s="8" t="n">
        <v>46301</v>
      </c>
      <c r="J11" s="8" t="n">
        <v>46301</v>
      </c>
      <c r="K11" s="9" t="s">
        <v>37</v>
      </c>
      <c r="L11" s="10" t="n">
        <f aca="false">IF(OR(I11="",J11=""),"",MAX(0,J11-I11))</f>
        <v>0</v>
      </c>
      <c r="M11" s="9"/>
    </row>
    <row r="12" customFormat="false" ht="15" hidden="false" customHeight="true" outlineLevel="0" collapsed="false">
      <c r="A12" s="8" t="n">
        <v>46300</v>
      </c>
      <c r="B12" s="9" t="s">
        <v>54</v>
      </c>
      <c r="C12" s="9" t="s">
        <v>55</v>
      </c>
      <c r="D12" s="9" t="s">
        <v>42</v>
      </c>
      <c r="E12" s="9" t="s">
        <v>34</v>
      </c>
      <c r="F12" s="9" t="s">
        <v>35</v>
      </c>
      <c r="G12" s="9" t="s">
        <v>36</v>
      </c>
      <c r="H12" s="9" t="n">
        <v>100</v>
      </c>
      <c r="I12" s="8" t="n">
        <v>46310</v>
      </c>
      <c r="J12" s="8" t="n">
        <v>46303</v>
      </c>
      <c r="K12" s="9" t="s">
        <v>37</v>
      </c>
      <c r="L12" s="10" t="n">
        <f aca="false">IF(OR(I12="",J12=""),"",MAX(0,J12-I12))</f>
        <v>0</v>
      </c>
      <c r="M12" s="9"/>
    </row>
    <row r="13" customFormat="false" ht="15" hidden="false" customHeight="true" outlineLevel="0" collapsed="false">
      <c r="A13" s="8" t="n">
        <v>46300</v>
      </c>
      <c r="B13" s="9" t="s">
        <v>40</v>
      </c>
      <c r="C13" s="9" t="s">
        <v>41</v>
      </c>
      <c r="D13" s="9" t="s">
        <v>49</v>
      </c>
      <c r="E13" s="9" t="s">
        <v>34</v>
      </c>
      <c r="F13" s="9" t="s">
        <v>35</v>
      </c>
      <c r="G13" s="9" t="s">
        <v>36</v>
      </c>
      <c r="H13" s="9" t="n">
        <v>6</v>
      </c>
      <c r="I13" s="8" t="n">
        <v>46302</v>
      </c>
      <c r="J13" s="8" t="n">
        <v>46303</v>
      </c>
      <c r="K13" s="9" t="s">
        <v>37</v>
      </c>
      <c r="L13" s="10" t="n">
        <f aca="false">IF(OR(I13="",J13=""),"",MAX(0,J13-I13))</f>
        <v>1</v>
      </c>
      <c r="M13" s="9" t="s">
        <v>56</v>
      </c>
    </row>
    <row r="14" customFormat="false" ht="15" hidden="false" customHeight="true" outlineLevel="0" collapsed="false">
      <c r="A14" s="8" t="n">
        <v>46301</v>
      </c>
      <c r="B14" s="9" t="s">
        <v>57</v>
      </c>
      <c r="C14" s="9" t="s">
        <v>58</v>
      </c>
      <c r="D14" s="9" t="s">
        <v>59</v>
      </c>
      <c r="E14" s="9" t="s">
        <v>50</v>
      </c>
      <c r="F14" s="9" t="s">
        <v>51</v>
      </c>
      <c r="G14" s="9" t="s">
        <v>36</v>
      </c>
      <c r="H14" s="9" t="n">
        <v>150</v>
      </c>
      <c r="I14" s="8" t="n">
        <v>46305</v>
      </c>
      <c r="J14" s="8" t="n">
        <v>46307</v>
      </c>
      <c r="K14" s="9" t="s">
        <v>37</v>
      </c>
      <c r="L14" s="10" t="n">
        <f aca="false">IF(OR(I14="",J14=""),"",MAX(0,J14-I14))</f>
        <v>2</v>
      </c>
      <c r="M14" s="9" t="s">
        <v>60</v>
      </c>
    </row>
    <row r="15" customFormat="false" ht="15" hidden="false" customHeight="true" outlineLevel="0" collapsed="false">
      <c r="A15" s="8" t="n">
        <v>46301</v>
      </c>
      <c r="B15" s="9" t="s">
        <v>45</v>
      </c>
      <c r="C15" s="9" t="s">
        <v>32</v>
      </c>
      <c r="D15" s="9" t="s">
        <v>33</v>
      </c>
      <c r="E15" s="9" t="s">
        <v>34</v>
      </c>
      <c r="F15" s="9" t="s">
        <v>35</v>
      </c>
      <c r="G15" s="9" t="s">
        <v>36</v>
      </c>
      <c r="H15" s="9" t="n">
        <v>20</v>
      </c>
      <c r="I15" s="8" t="n">
        <v>46302</v>
      </c>
      <c r="J15" s="8" t="n">
        <v>46302</v>
      </c>
      <c r="K15" s="9" t="s">
        <v>37</v>
      </c>
      <c r="L15" s="10" t="n">
        <f aca="false">IF(OR(I15="",J15=""),"",MAX(0,J15-I15))</f>
        <v>0</v>
      </c>
      <c r="M15" s="9"/>
    </row>
    <row r="16" customFormat="false" ht="15" hidden="false" customHeight="true" outlineLevel="0" collapsed="false">
      <c r="A16" s="8" t="n">
        <v>46301</v>
      </c>
      <c r="B16" s="9" t="s">
        <v>40</v>
      </c>
      <c r="C16" s="9" t="s">
        <v>41</v>
      </c>
      <c r="D16" s="9" t="s">
        <v>49</v>
      </c>
      <c r="E16" s="9" t="s">
        <v>34</v>
      </c>
      <c r="F16" s="9" t="s">
        <v>35</v>
      </c>
      <c r="G16" s="9" t="s">
        <v>36</v>
      </c>
      <c r="H16" s="9" t="n">
        <v>8</v>
      </c>
      <c r="I16" s="8" t="n">
        <v>46303</v>
      </c>
      <c r="J16" s="8" t="n">
        <v>46305</v>
      </c>
      <c r="K16" s="9" t="s">
        <v>37</v>
      </c>
      <c r="L16" s="10" t="n">
        <f aca="false">IF(OR(I16="",J16=""),"",MAX(0,J16-I16))</f>
        <v>2</v>
      </c>
      <c r="M16" s="9" t="s">
        <v>56</v>
      </c>
    </row>
    <row r="17" customFormat="false" ht="15" hidden="false" customHeight="true" outlineLevel="0" collapsed="false">
      <c r="A17" s="8" t="n">
        <v>46302</v>
      </c>
      <c r="B17" s="9" t="s">
        <v>45</v>
      </c>
      <c r="C17" s="9" t="s">
        <v>32</v>
      </c>
      <c r="D17" s="9" t="s">
        <v>49</v>
      </c>
      <c r="E17" s="9" t="s">
        <v>34</v>
      </c>
      <c r="F17" s="9" t="s">
        <v>35</v>
      </c>
      <c r="G17" s="9" t="s">
        <v>36</v>
      </c>
      <c r="H17" s="9" t="n">
        <v>25</v>
      </c>
      <c r="I17" s="8" t="n">
        <v>46305</v>
      </c>
      <c r="J17" s="8" t="n">
        <v>46303</v>
      </c>
      <c r="K17" s="9" t="s">
        <v>37</v>
      </c>
      <c r="L17" s="10" t="n">
        <f aca="false">IF(OR(I17="",J17=""),"",MAX(0,J17-I17))</f>
        <v>0</v>
      </c>
      <c r="M17" s="9"/>
    </row>
    <row r="18" customFormat="false" ht="15" hidden="false" customHeight="true" outlineLevel="0" collapsed="false">
      <c r="A18" s="8" t="n">
        <v>46302</v>
      </c>
      <c r="B18" s="9" t="s">
        <v>40</v>
      </c>
      <c r="C18" s="9" t="s">
        <v>41</v>
      </c>
      <c r="D18" s="9" t="s">
        <v>33</v>
      </c>
      <c r="E18" s="9" t="s">
        <v>34</v>
      </c>
      <c r="F18" s="9" t="s">
        <v>35</v>
      </c>
      <c r="G18" s="9" t="s">
        <v>36</v>
      </c>
      <c r="H18" s="9" t="n">
        <v>4</v>
      </c>
      <c r="I18" s="8" t="n">
        <v>46305</v>
      </c>
      <c r="J18" s="8" t="n">
        <v>46307</v>
      </c>
      <c r="K18" s="9" t="s">
        <v>37</v>
      </c>
      <c r="L18" s="10" t="n">
        <f aca="false">IF(OR(I18="",J18=""),"",MAX(0,J18-I18))</f>
        <v>2</v>
      </c>
      <c r="M18" s="9" t="s">
        <v>56</v>
      </c>
    </row>
    <row r="19" customFormat="false" ht="15" hidden="false" customHeight="true" outlineLevel="0" collapsed="false">
      <c r="A19" s="8" t="n">
        <v>46303</v>
      </c>
      <c r="B19" s="9" t="s">
        <v>61</v>
      </c>
      <c r="C19" s="9" t="s">
        <v>32</v>
      </c>
      <c r="D19" s="9" t="s">
        <v>42</v>
      </c>
      <c r="E19" s="9" t="s">
        <v>34</v>
      </c>
      <c r="F19" s="9" t="s">
        <v>35</v>
      </c>
      <c r="G19" s="9" t="s">
        <v>36</v>
      </c>
      <c r="H19" s="9" t="n">
        <v>25</v>
      </c>
      <c r="I19" s="8" t="n">
        <v>46305</v>
      </c>
      <c r="J19" s="8" t="n">
        <v>46305</v>
      </c>
      <c r="K19" s="9" t="s">
        <v>37</v>
      </c>
      <c r="L19" s="10" t="n">
        <f aca="false">IF(OR(I19="",J19=""),"",MAX(0,J19-I19))</f>
        <v>0</v>
      </c>
      <c r="M19" s="9"/>
    </row>
    <row r="20" customFormat="false" ht="15" hidden="false" customHeight="true" outlineLevel="0" collapsed="false">
      <c r="A20" s="8" t="n">
        <v>46303</v>
      </c>
      <c r="B20" s="9" t="s">
        <v>40</v>
      </c>
      <c r="C20" s="9" t="s">
        <v>41</v>
      </c>
      <c r="D20" s="9" t="s">
        <v>42</v>
      </c>
      <c r="E20" s="9" t="s">
        <v>34</v>
      </c>
      <c r="F20" s="9" t="s">
        <v>35</v>
      </c>
      <c r="G20" s="9" t="s">
        <v>36</v>
      </c>
      <c r="H20" s="9" t="n">
        <v>8</v>
      </c>
      <c r="I20" s="8" t="n">
        <v>46305</v>
      </c>
      <c r="J20" s="8" t="n">
        <v>46307</v>
      </c>
      <c r="K20" s="9" t="s">
        <v>37</v>
      </c>
      <c r="L20" s="10" t="n">
        <f aca="false">IF(OR(I20="",J20=""),"",MAX(0,J20-I20))</f>
        <v>2</v>
      </c>
      <c r="M20" s="9" t="s">
        <v>56</v>
      </c>
    </row>
    <row r="21" customFormat="false" ht="15" hidden="false" customHeight="true" outlineLevel="0" collapsed="false">
      <c r="A21" s="8" t="n">
        <v>46305</v>
      </c>
      <c r="B21" s="9" t="s">
        <v>62</v>
      </c>
      <c r="C21" s="9" t="s">
        <v>32</v>
      </c>
      <c r="D21" s="9" t="s">
        <v>42</v>
      </c>
      <c r="E21" s="9" t="s">
        <v>34</v>
      </c>
      <c r="F21" s="9" t="s">
        <v>35</v>
      </c>
      <c r="G21" s="9" t="s">
        <v>36</v>
      </c>
      <c r="H21" s="9" t="n">
        <v>25</v>
      </c>
      <c r="I21" s="8" t="n">
        <v>46307</v>
      </c>
      <c r="J21" s="8" t="n">
        <v>46306</v>
      </c>
      <c r="K21" s="9" t="s">
        <v>37</v>
      </c>
      <c r="L21" s="10" t="n">
        <f aca="false">IF(OR(I21="",J21=""),"",MAX(0,J21-I21))</f>
        <v>0</v>
      </c>
      <c r="M21" s="9"/>
    </row>
    <row r="22" customFormat="false" ht="15" hidden="false" customHeight="true" outlineLevel="0" collapsed="false">
      <c r="A22" s="8" t="n">
        <v>46305</v>
      </c>
      <c r="B22" s="9" t="s">
        <v>63</v>
      </c>
      <c r="C22" s="9" t="s">
        <v>44</v>
      </c>
      <c r="D22" s="9" t="s">
        <v>33</v>
      </c>
      <c r="E22" s="9" t="s">
        <v>34</v>
      </c>
      <c r="F22" s="9" t="s">
        <v>35</v>
      </c>
      <c r="G22" s="9" t="s">
        <v>36</v>
      </c>
      <c r="H22" s="9" t="n">
        <v>50</v>
      </c>
      <c r="I22" s="8" t="n">
        <v>46308</v>
      </c>
      <c r="J22" s="8" t="n">
        <v>46308</v>
      </c>
      <c r="K22" s="9" t="s">
        <v>37</v>
      </c>
      <c r="L22" s="10" t="n">
        <f aca="false">IF(OR(I22="",J22=""),"",MAX(0,J22-I22))</f>
        <v>0</v>
      </c>
      <c r="M22" s="9"/>
    </row>
    <row r="23" customFormat="false" ht="15" hidden="false" customHeight="true" outlineLevel="0" collapsed="false">
      <c r="A23" s="8" t="n">
        <v>46305</v>
      </c>
      <c r="B23" s="9" t="s">
        <v>40</v>
      </c>
      <c r="C23" s="9" t="s">
        <v>41</v>
      </c>
      <c r="D23" s="9" t="s">
        <v>42</v>
      </c>
      <c r="E23" s="9" t="s">
        <v>34</v>
      </c>
      <c r="F23" s="9" t="s">
        <v>35</v>
      </c>
      <c r="G23" s="9" t="s">
        <v>36</v>
      </c>
      <c r="H23" s="9" t="n">
        <v>8</v>
      </c>
      <c r="I23" s="8" t="n">
        <v>46307</v>
      </c>
      <c r="J23" s="8" t="n">
        <v>46309</v>
      </c>
      <c r="K23" s="9" t="s">
        <v>37</v>
      </c>
      <c r="L23" s="10" t="n">
        <f aca="false">IF(OR(I23="",J23=""),"",MAX(0,J23-I23))</f>
        <v>2</v>
      </c>
      <c r="M23" s="9" t="s">
        <v>56</v>
      </c>
    </row>
    <row r="24" customFormat="false" ht="15" hidden="false" customHeight="true" outlineLevel="0" collapsed="false">
      <c r="A24" s="8" t="n">
        <v>46306</v>
      </c>
      <c r="B24" s="9" t="s">
        <v>57</v>
      </c>
      <c r="C24" s="9" t="s">
        <v>58</v>
      </c>
      <c r="D24" s="9" t="s">
        <v>59</v>
      </c>
      <c r="E24" s="9" t="s">
        <v>50</v>
      </c>
      <c r="F24" s="9" t="s">
        <v>51</v>
      </c>
      <c r="G24" s="9" t="s">
        <v>36</v>
      </c>
      <c r="H24" s="9" t="n">
        <v>300</v>
      </c>
      <c r="I24" s="8" t="n">
        <v>46308</v>
      </c>
      <c r="J24" s="8"/>
      <c r="K24" s="9" t="s">
        <v>64</v>
      </c>
      <c r="L24" s="10" t="str">
        <f aca="false">IF(OR(I24="",J24=""),"",MAX(0,J24-I24))</f>
        <v/>
      </c>
      <c r="M24" s="9" t="s">
        <v>65</v>
      </c>
    </row>
    <row r="25" customFormat="false" ht="15" hidden="false" customHeight="true" outlineLevel="0" collapsed="false">
      <c r="A25" s="8" t="n">
        <v>46306</v>
      </c>
      <c r="B25" s="9" t="s">
        <v>53</v>
      </c>
      <c r="C25" s="9" t="s">
        <v>32</v>
      </c>
      <c r="D25" s="9" t="s">
        <v>33</v>
      </c>
      <c r="E25" s="9" t="s">
        <v>34</v>
      </c>
      <c r="F25" s="9" t="s">
        <v>35</v>
      </c>
      <c r="G25" s="9" t="s">
        <v>36</v>
      </c>
      <c r="H25" s="9" t="n">
        <v>25</v>
      </c>
      <c r="I25" s="8" t="n">
        <v>46308</v>
      </c>
      <c r="J25" s="8" t="n">
        <v>46309</v>
      </c>
      <c r="K25" s="9" t="s">
        <v>37</v>
      </c>
      <c r="L25" s="10" t="n">
        <f aca="false">IF(OR(I25="",J25=""),"",MAX(0,J25-I25))</f>
        <v>1</v>
      </c>
      <c r="M25" s="9" t="s">
        <v>56</v>
      </c>
    </row>
    <row r="26" customFormat="false" ht="15" hidden="false" customHeight="true" outlineLevel="0" collapsed="false">
      <c r="A26" s="8" t="n">
        <v>46306</v>
      </c>
      <c r="B26" s="9" t="s">
        <v>40</v>
      </c>
      <c r="C26" s="9" t="s">
        <v>41</v>
      </c>
      <c r="D26" s="9" t="s">
        <v>33</v>
      </c>
      <c r="E26" s="9" t="s">
        <v>34</v>
      </c>
      <c r="F26" s="9" t="s">
        <v>35</v>
      </c>
      <c r="G26" s="9" t="s">
        <v>36</v>
      </c>
      <c r="H26" s="9" t="n">
        <v>6</v>
      </c>
      <c r="I26" s="8" t="n">
        <v>46308</v>
      </c>
      <c r="J26" s="8" t="n">
        <v>46309</v>
      </c>
      <c r="K26" s="9" t="s">
        <v>37</v>
      </c>
      <c r="L26" s="10" t="n">
        <f aca="false">IF(OR(I26="",J26=""),"",MAX(0,J26-I26))</f>
        <v>1</v>
      </c>
      <c r="M26" s="9" t="s">
        <v>56</v>
      </c>
    </row>
    <row r="27" customFormat="false" ht="15" hidden="false" customHeight="true" outlineLevel="0" collapsed="false">
      <c r="A27" s="8" t="n">
        <v>46307</v>
      </c>
      <c r="B27" s="9" t="s">
        <v>45</v>
      </c>
      <c r="C27" s="9" t="s">
        <v>32</v>
      </c>
      <c r="D27" s="9" t="s">
        <v>42</v>
      </c>
      <c r="E27" s="9" t="s">
        <v>34</v>
      </c>
      <c r="F27" s="9" t="s">
        <v>35</v>
      </c>
      <c r="G27" s="9" t="s">
        <v>36</v>
      </c>
      <c r="H27" s="9" t="n">
        <v>25</v>
      </c>
      <c r="I27" s="8" t="n">
        <v>46309</v>
      </c>
      <c r="J27" s="8" t="n">
        <v>46310</v>
      </c>
      <c r="K27" s="9" t="s">
        <v>37</v>
      </c>
      <c r="L27" s="10" t="n">
        <f aca="false">IF(OR(I27="",J27=""),"",MAX(0,J27-I27))</f>
        <v>1</v>
      </c>
      <c r="M27" s="9" t="s">
        <v>66</v>
      </c>
    </row>
    <row r="28" customFormat="false" ht="15" hidden="false" customHeight="true" outlineLevel="0" collapsed="false">
      <c r="A28" s="8" t="n">
        <v>46307</v>
      </c>
      <c r="B28" s="9" t="s">
        <v>46</v>
      </c>
      <c r="C28" s="9" t="s">
        <v>32</v>
      </c>
      <c r="D28" s="9" t="s">
        <v>49</v>
      </c>
      <c r="E28" s="9" t="s">
        <v>34</v>
      </c>
      <c r="F28" s="9" t="s">
        <v>35</v>
      </c>
      <c r="G28" s="9" t="s">
        <v>36</v>
      </c>
      <c r="H28" s="9" t="n">
        <v>25</v>
      </c>
      <c r="I28" s="8" t="n">
        <v>46309</v>
      </c>
      <c r="J28" s="8" t="n">
        <v>46310</v>
      </c>
      <c r="K28" s="9" t="s">
        <v>37</v>
      </c>
      <c r="L28" s="10" t="n">
        <f aca="false">IF(OR(I28="",J28=""),"",MAX(0,J28-I28))</f>
        <v>1</v>
      </c>
      <c r="M28" s="9" t="s">
        <v>66</v>
      </c>
    </row>
    <row r="29" customFormat="false" ht="15" hidden="false" customHeight="true" outlineLevel="0" collapsed="false">
      <c r="A29" s="8" t="n">
        <v>46307</v>
      </c>
      <c r="B29" s="9" t="s">
        <v>43</v>
      </c>
      <c r="C29" s="9" t="s">
        <v>44</v>
      </c>
      <c r="D29" s="9" t="s">
        <v>33</v>
      </c>
      <c r="E29" s="9" t="s">
        <v>34</v>
      </c>
      <c r="F29" s="9" t="s">
        <v>35</v>
      </c>
      <c r="G29" s="9" t="s">
        <v>36</v>
      </c>
      <c r="H29" s="9" t="n">
        <v>60</v>
      </c>
      <c r="I29" s="8" t="n">
        <v>46310</v>
      </c>
      <c r="J29" s="8"/>
      <c r="K29" s="9" t="s">
        <v>67</v>
      </c>
      <c r="L29" s="10" t="str">
        <f aca="false">IF(OR(I29="",J29=""),"",MAX(0,J29-I29))</f>
        <v/>
      </c>
      <c r="M29" s="9"/>
    </row>
    <row r="30" customFormat="false" ht="15" hidden="false" customHeight="true" outlineLevel="0" collapsed="false">
      <c r="A30" s="8" t="n">
        <v>46307</v>
      </c>
      <c r="B30" s="9" t="s">
        <v>40</v>
      </c>
      <c r="C30" s="9" t="s">
        <v>41</v>
      </c>
      <c r="D30" s="9" t="s">
        <v>49</v>
      </c>
      <c r="E30" s="9" t="s">
        <v>34</v>
      </c>
      <c r="F30" s="9" t="s">
        <v>35</v>
      </c>
      <c r="G30" s="9" t="s">
        <v>36</v>
      </c>
      <c r="H30" s="9" t="n">
        <v>6</v>
      </c>
      <c r="I30" s="8" t="n">
        <v>46309</v>
      </c>
      <c r="J30" s="8" t="n">
        <v>46310</v>
      </c>
      <c r="K30" s="9" t="s">
        <v>37</v>
      </c>
      <c r="L30" s="10" t="n">
        <f aca="false">IF(OR(I30="",J30=""),"",MAX(0,J30-I30))</f>
        <v>1</v>
      </c>
      <c r="M30" s="9" t="s">
        <v>66</v>
      </c>
    </row>
    <row r="31" customFormat="false" ht="15" hidden="false" customHeight="true" outlineLevel="0" collapsed="false">
      <c r="A31" s="8" t="n">
        <v>46308</v>
      </c>
      <c r="B31" s="9" t="s">
        <v>47</v>
      </c>
      <c r="C31" s="9" t="s">
        <v>48</v>
      </c>
      <c r="D31" s="9" t="s">
        <v>42</v>
      </c>
      <c r="E31" s="9" t="s">
        <v>50</v>
      </c>
      <c r="F31" s="9" t="s">
        <v>51</v>
      </c>
      <c r="G31" s="9" t="s">
        <v>52</v>
      </c>
      <c r="H31" s="9" t="n">
        <v>20</v>
      </c>
      <c r="I31" s="8" t="n">
        <v>46310</v>
      </c>
      <c r="J31" s="8"/>
      <c r="K31" s="9" t="s">
        <v>67</v>
      </c>
      <c r="L31" s="10" t="str">
        <f aca="false">IF(OR(I31="",J31=""),"",MAX(0,J31-I31))</f>
        <v/>
      </c>
      <c r="M31" s="9"/>
    </row>
    <row r="32" customFormat="false" ht="15" hidden="false" customHeight="true" outlineLevel="0" collapsed="false">
      <c r="A32" s="8" t="n">
        <v>46308</v>
      </c>
      <c r="B32" s="9" t="s">
        <v>68</v>
      </c>
      <c r="C32" s="9" t="s">
        <v>58</v>
      </c>
      <c r="D32" s="9" t="s">
        <v>59</v>
      </c>
      <c r="E32" s="9" t="s">
        <v>50</v>
      </c>
      <c r="F32" s="9" t="s">
        <v>51</v>
      </c>
      <c r="G32" s="9" t="s">
        <v>52</v>
      </c>
      <c r="H32" s="9" t="n">
        <v>100</v>
      </c>
      <c r="I32" s="8" t="n">
        <v>46312</v>
      </c>
      <c r="J32" s="8"/>
      <c r="K32" s="9" t="s">
        <v>67</v>
      </c>
      <c r="L32" s="10" t="str">
        <f aca="false">IF(OR(I32="",J32=""),"",MAX(0,J32-I32))</f>
        <v/>
      </c>
      <c r="M32" s="9"/>
    </row>
    <row r="33" customFormat="false" ht="15" hidden="false" customHeight="true" outlineLevel="0" collapsed="false">
      <c r="A33" s="8" t="n">
        <v>46308</v>
      </c>
      <c r="B33" s="9" t="s">
        <v>39</v>
      </c>
      <c r="C33" s="9" t="s">
        <v>32</v>
      </c>
      <c r="D33" s="9" t="s">
        <v>69</v>
      </c>
      <c r="E33" s="9" t="s">
        <v>34</v>
      </c>
      <c r="F33" s="9" t="s">
        <v>35</v>
      </c>
      <c r="G33" s="9" t="s">
        <v>70</v>
      </c>
      <c r="H33" s="9" t="n">
        <v>25</v>
      </c>
      <c r="I33" s="8" t="n">
        <v>46309</v>
      </c>
      <c r="J33" s="8" t="n">
        <v>46310</v>
      </c>
      <c r="K33" s="9" t="s">
        <v>37</v>
      </c>
      <c r="L33" s="10" t="n">
        <f aca="false">IF(OR(I33="",J33=""),"",MAX(0,J33-I33))</f>
        <v>1</v>
      </c>
      <c r="M33" s="9" t="s">
        <v>66</v>
      </c>
    </row>
    <row r="34" customFormat="false" ht="15" hidden="false" customHeight="true" outlineLevel="0" collapsed="false">
      <c r="A34" s="8" t="n">
        <v>46308</v>
      </c>
      <c r="B34" s="9" t="s">
        <v>40</v>
      </c>
      <c r="C34" s="9" t="s">
        <v>41</v>
      </c>
      <c r="D34" s="9" t="s">
        <v>42</v>
      </c>
      <c r="E34" s="9" t="s">
        <v>34</v>
      </c>
      <c r="F34" s="9" t="s">
        <v>35</v>
      </c>
      <c r="G34" s="9" t="s">
        <v>36</v>
      </c>
      <c r="H34" s="9" t="n">
        <v>6</v>
      </c>
      <c r="I34" s="8" t="n">
        <v>46310</v>
      </c>
      <c r="J34" s="8"/>
      <c r="K34" s="9" t="s">
        <v>67</v>
      </c>
      <c r="L34" s="10" t="str">
        <f aca="false">IF(OR(I34="",J34=""),"",MAX(0,J34-I34))</f>
        <v/>
      </c>
      <c r="M34" s="9"/>
    </row>
    <row r="35" customFormat="false" ht="15" hidden="false" customHeight="true" outlineLevel="0" collapsed="false">
      <c r="A35" s="8" t="n">
        <v>46309</v>
      </c>
      <c r="B35" s="9" t="s">
        <v>46</v>
      </c>
      <c r="C35" s="9" t="s">
        <v>32</v>
      </c>
      <c r="D35" s="9" t="s">
        <v>33</v>
      </c>
      <c r="E35" s="9" t="s">
        <v>34</v>
      </c>
      <c r="F35" s="9" t="s">
        <v>35</v>
      </c>
      <c r="G35" s="9" t="s">
        <v>36</v>
      </c>
      <c r="H35" s="9" t="n">
        <v>25</v>
      </c>
      <c r="I35" s="8" t="n">
        <v>46310</v>
      </c>
      <c r="J35" s="8"/>
      <c r="K35" s="9" t="s">
        <v>67</v>
      </c>
      <c r="L35" s="10" t="str">
        <f aca="false">IF(OR(I35="",J35=""),"",MAX(0,J35-I35))</f>
        <v/>
      </c>
      <c r="M35" s="9"/>
    </row>
    <row r="36" customFormat="false" ht="15" hidden="false" customHeight="true" outlineLevel="0" collapsed="false">
      <c r="A36" s="8" t="n">
        <v>46309</v>
      </c>
      <c r="B36" s="9" t="s">
        <v>40</v>
      </c>
      <c r="C36" s="9" t="s">
        <v>41</v>
      </c>
      <c r="D36" s="9" t="s">
        <v>33</v>
      </c>
      <c r="E36" s="9" t="s">
        <v>34</v>
      </c>
      <c r="F36" s="9" t="s">
        <v>35</v>
      </c>
      <c r="G36" s="9" t="s">
        <v>36</v>
      </c>
      <c r="H36" s="9" t="n">
        <v>6</v>
      </c>
      <c r="I36" s="8" t="n">
        <v>46312</v>
      </c>
      <c r="J36" s="8"/>
      <c r="K36" s="9" t="s">
        <v>67</v>
      </c>
      <c r="L36" s="10" t="str">
        <f aca="false">IF(OR(I36="",J36=""),"",MAX(0,J36-I36))</f>
        <v/>
      </c>
      <c r="M36" s="9"/>
    </row>
    <row r="37" customFormat="false" ht="15" hidden="false" customHeight="true" outlineLevel="0" collapsed="false">
      <c r="A37" s="8" t="n">
        <v>46310</v>
      </c>
      <c r="B37" s="9" t="s">
        <v>53</v>
      </c>
      <c r="C37" s="9" t="s">
        <v>32</v>
      </c>
      <c r="D37" s="9" t="s">
        <v>33</v>
      </c>
      <c r="E37" s="9" t="s">
        <v>34</v>
      </c>
      <c r="F37" s="9" t="s">
        <v>35</v>
      </c>
      <c r="G37" s="9" t="s">
        <v>36</v>
      </c>
      <c r="H37" s="9" t="n">
        <v>25</v>
      </c>
      <c r="I37" s="8" t="n">
        <v>46312</v>
      </c>
      <c r="J37" s="8"/>
      <c r="K37" s="9" t="s">
        <v>67</v>
      </c>
      <c r="L37" s="10" t="str">
        <f aca="false">IF(OR(I37="",J37=""),"",MAX(0,J37-I37))</f>
        <v/>
      </c>
      <c r="M37" s="9"/>
    </row>
    <row r="38" customFormat="false" ht="15" hidden="false" customHeight="true" outlineLevel="0" collapsed="false">
      <c r="A38" s="8" t="n">
        <v>46310</v>
      </c>
      <c r="B38" s="9" t="s">
        <v>40</v>
      </c>
      <c r="C38" s="9" t="s">
        <v>41</v>
      </c>
      <c r="D38" s="9" t="s">
        <v>33</v>
      </c>
      <c r="E38" s="9" t="s">
        <v>34</v>
      </c>
      <c r="F38" s="9" t="s">
        <v>35</v>
      </c>
      <c r="G38" s="9" t="s">
        <v>36</v>
      </c>
      <c r="H38" s="9" t="n">
        <v>5</v>
      </c>
      <c r="I38" s="8" t="n">
        <v>46312</v>
      </c>
      <c r="J38" s="8"/>
      <c r="K38" s="9" t="s">
        <v>67</v>
      </c>
      <c r="L38" s="10" t="str">
        <f aca="false">IF(OR(I38="",J38=""),"",MAX(0,J38-I38))</f>
        <v/>
      </c>
      <c r="M38" s="9"/>
    </row>
    <row r="39" customFormat="false" ht="15" hidden="false" customHeight="true" outlineLevel="0" collapsed="false">
      <c r="A39" s="8"/>
      <c r="B39" s="9"/>
      <c r="C39" s="9"/>
      <c r="D39" s="9"/>
      <c r="E39" s="9"/>
      <c r="F39" s="9"/>
      <c r="G39" s="9"/>
      <c r="H39" s="9"/>
      <c r="I39" s="8"/>
      <c r="J39" s="8"/>
      <c r="K39" s="9"/>
      <c r="L39" s="10" t="str">
        <f aca="false">IF(OR(I39="",J39=""),"",MAX(0,J39-I39))</f>
        <v/>
      </c>
      <c r="M39" s="9"/>
    </row>
    <row r="40" customFormat="false" ht="15" hidden="false" customHeight="true" outlineLevel="0" collapsed="false">
      <c r="A40" s="8"/>
      <c r="B40" s="9"/>
      <c r="C40" s="9"/>
      <c r="D40" s="9"/>
      <c r="E40" s="9"/>
      <c r="F40" s="9"/>
      <c r="G40" s="9"/>
      <c r="H40" s="9"/>
      <c r="I40" s="8"/>
      <c r="J40" s="8"/>
      <c r="K40" s="9"/>
      <c r="L40" s="10" t="str">
        <f aca="false">IF(OR(I40="",J40=""),"",MAX(0,J40-I40))</f>
        <v/>
      </c>
      <c r="M40" s="9"/>
    </row>
    <row r="41" customFormat="false" ht="15" hidden="false" customHeight="true" outlineLevel="0" collapsed="false">
      <c r="A41" s="8"/>
      <c r="B41" s="9"/>
      <c r="C41" s="9"/>
      <c r="D41" s="9"/>
      <c r="E41" s="9"/>
      <c r="F41" s="9"/>
      <c r="G41" s="9"/>
      <c r="H41" s="9"/>
      <c r="I41" s="8"/>
      <c r="J41" s="8"/>
      <c r="K41" s="9"/>
      <c r="L41" s="10" t="str">
        <f aca="false">IF(OR(I41="",J41=""),"",MAX(0,J41-I41))</f>
        <v/>
      </c>
      <c r="M41" s="9"/>
    </row>
    <row r="42" customFormat="false" ht="15" hidden="false" customHeight="true" outlineLevel="0" collapsed="false">
      <c r="A42" s="8"/>
      <c r="B42" s="9"/>
      <c r="C42" s="9"/>
      <c r="D42" s="9"/>
      <c r="E42" s="9"/>
      <c r="F42" s="9"/>
      <c r="G42" s="9"/>
      <c r="H42" s="9"/>
      <c r="I42" s="8"/>
      <c r="J42" s="8"/>
      <c r="K42" s="9"/>
      <c r="L42" s="10" t="str">
        <f aca="false">IF(OR(I42="",J42=""),"",MAX(0,J42-I42))</f>
        <v/>
      </c>
      <c r="M42" s="9"/>
    </row>
    <row r="43" customFormat="false" ht="15" hidden="false" customHeight="true" outlineLevel="0" collapsed="false">
      <c r="A43" s="8"/>
      <c r="B43" s="9"/>
      <c r="C43" s="9"/>
      <c r="D43" s="9"/>
      <c r="E43" s="9"/>
      <c r="F43" s="9"/>
      <c r="G43" s="9"/>
      <c r="H43" s="9"/>
      <c r="I43" s="8"/>
      <c r="J43" s="8"/>
      <c r="K43" s="9"/>
      <c r="L43" s="10" t="str">
        <f aca="false">IF(OR(I43="",J43=""),"",MAX(0,J43-I43))</f>
        <v/>
      </c>
      <c r="M43" s="9"/>
    </row>
    <row r="44" customFormat="false" ht="15" hidden="false" customHeight="true" outlineLevel="0" collapsed="false">
      <c r="A44" s="8"/>
      <c r="B44" s="9"/>
      <c r="C44" s="9"/>
      <c r="D44" s="9"/>
      <c r="E44" s="9"/>
      <c r="F44" s="9"/>
      <c r="G44" s="9"/>
      <c r="H44" s="9"/>
      <c r="I44" s="8"/>
      <c r="J44" s="8"/>
      <c r="K44" s="9"/>
      <c r="L44" s="10" t="str">
        <f aca="false">IF(OR(I44="",J44=""),"",MAX(0,J44-I44))</f>
        <v/>
      </c>
      <c r="M44" s="9"/>
    </row>
    <row r="45" customFormat="false" ht="15" hidden="false" customHeight="true" outlineLevel="0" collapsed="false">
      <c r="A45" s="8"/>
      <c r="B45" s="9"/>
      <c r="C45" s="9"/>
      <c r="D45" s="9"/>
      <c r="E45" s="9"/>
      <c r="F45" s="9"/>
      <c r="G45" s="9"/>
      <c r="H45" s="9"/>
      <c r="I45" s="8"/>
      <c r="J45" s="8"/>
      <c r="K45" s="9"/>
      <c r="L45" s="10" t="str">
        <f aca="false">IF(OR(I45="",J45=""),"",MAX(0,J45-I45))</f>
        <v/>
      </c>
      <c r="M45" s="9"/>
    </row>
    <row r="46" customFormat="false" ht="15" hidden="false" customHeight="true" outlineLevel="0" collapsed="false">
      <c r="A46" s="8"/>
      <c r="B46" s="9"/>
      <c r="C46" s="9"/>
      <c r="D46" s="9"/>
      <c r="E46" s="9"/>
      <c r="F46" s="9"/>
      <c r="G46" s="9"/>
      <c r="H46" s="9"/>
      <c r="I46" s="8"/>
      <c r="J46" s="8"/>
      <c r="K46" s="9"/>
      <c r="L46" s="10" t="str">
        <f aca="false">IF(OR(I46="",J46=""),"",MAX(0,J46-I46))</f>
        <v/>
      </c>
      <c r="M46" s="9"/>
    </row>
    <row r="47" customFormat="false" ht="15" hidden="false" customHeight="true" outlineLevel="0" collapsed="false">
      <c r="A47" s="8"/>
      <c r="B47" s="9"/>
      <c r="C47" s="9"/>
      <c r="D47" s="9"/>
      <c r="E47" s="9"/>
      <c r="F47" s="9"/>
      <c r="G47" s="9"/>
      <c r="H47" s="9"/>
      <c r="I47" s="8"/>
      <c r="J47" s="8"/>
      <c r="K47" s="9"/>
      <c r="L47" s="10" t="str">
        <f aca="false">IF(OR(I47="",J47=""),"",MAX(0,J47-I47))</f>
        <v/>
      </c>
      <c r="M47" s="9"/>
    </row>
    <row r="48" customFormat="false" ht="15" hidden="false" customHeight="true" outlineLevel="0" collapsed="false">
      <c r="A48" s="8"/>
      <c r="B48" s="9"/>
      <c r="C48" s="9"/>
      <c r="D48" s="9"/>
      <c r="E48" s="9"/>
      <c r="F48" s="9"/>
      <c r="G48" s="9"/>
      <c r="H48" s="9"/>
      <c r="I48" s="8"/>
      <c r="J48" s="8"/>
      <c r="K48" s="9"/>
      <c r="L48" s="10" t="str">
        <f aca="false">IF(OR(I48="",J48=""),"",MAX(0,J48-I48))</f>
        <v/>
      </c>
      <c r="M48" s="9"/>
    </row>
    <row r="49" customFormat="false" ht="15" hidden="false" customHeight="true" outlineLevel="0" collapsed="false">
      <c r="A49" s="8"/>
      <c r="B49" s="9"/>
      <c r="C49" s="9"/>
      <c r="D49" s="9"/>
      <c r="E49" s="9"/>
      <c r="F49" s="9"/>
      <c r="G49" s="9"/>
      <c r="H49" s="9"/>
      <c r="I49" s="8"/>
      <c r="J49" s="8"/>
      <c r="K49" s="9"/>
      <c r="L49" s="10" t="str">
        <f aca="false">IF(OR(I49="",J49=""),"",MAX(0,J49-I49))</f>
        <v/>
      </c>
      <c r="M49" s="9"/>
    </row>
    <row r="50" customFormat="false" ht="15" hidden="false" customHeight="true" outlineLevel="0" collapsed="false">
      <c r="A50" s="8"/>
      <c r="B50" s="9"/>
      <c r="C50" s="9"/>
      <c r="D50" s="9"/>
      <c r="E50" s="9"/>
      <c r="F50" s="9"/>
      <c r="G50" s="9"/>
      <c r="H50" s="9"/>
      <c r="I50" s="8"/>
      <c r="J50" s="8"/>
      <c r="K50" s="9"/>
      <c r="L50" s="10" t="str">
        <f aca="false">IF(OR(I50="",J50=""),"",MAX(0,J50-I50))</f>
        <v/>
      </c>
      <c r="M50" s="9"/>
    </row>
    <row r="51" customFormat="false" ht="15" hidden="false" customHeight="true" outlineLevel="0" collapsed="false">
      <c r="A51" s="8"/>
      <c r="B51" s="9"/>
      <c r="C51" s="9"/>
      <c r="D51" s="9"/>
      <c r="E51" s="9"/>
      <c r="F51" s="9"/>
      <c r="G51" s="9"/>
      <c r="H51" s="9"/>
      <c r="I51" s="8"/>
      <c r="J51" s="8"/>
      <c r="K51" s="9"/>
      <c r="L51" s="10" t="str">
        <f aca="false">IF(OR(I51="",J51=""),"",MAX(0,J51-I51))</f>
        <v/>
      </c>
      <c r="M51" s="9"/>
    </row>
    <row r="52" customFormat="false" ht="15" hidden="false" customHeight="true" outlineLevel="0" collapsed="false">
      <c r="A52" s="8"/>
      <c r="B52" s="9"/>
      <c r="C52" s="9"/>
      <c r="D52" s="9"/>
      <c r="E52" s="9"/>
      <c r="F52" s="9"/>
      <c r="G52" s="9"/>
      <c r="H52" s="9"/>
      <c r="I52" s="8"/>
      <c r="J52" s="8"/>
      <c r="K52" s="9"/>
      <c r="L52" s="10" t="str">
        <f aca="false">IF(OR(I52="",J52=""),"",MAX(0,J52-I52))</f>
        <v/>
      </c>
      <c r="M52" s="9"/>
    </row>
    <row r="53" customFormat="false" ht="15" hidden="false" customHeight="true" outlineLevel="0" collapsed="false">
      <c r="A53" s="8"/>
      <c r="B53" s="9"/>
      <c r="C53" s="9"/>
      <c r="D53" s="9"/>
      <c r="E53" s="9"/>
      <c r="F53" s="9"/>
      <c r="G53" s="9"/>
      <c r="H53" s="9"/>
      <c r="I53" s="8"/>
      <c r="J53" s="8"/>
      <c r="K53" s="9"/>
      <c r="L53" s="10" t="str">
        <f aca="false">IF(OR(I53="",J53=""),"",MAX(0,J53-I53))</f>
        <v/>
      </c>
      <c r="M53" s="9"/>
    </row>
    <row r="54" customFormat="false" ht="15" hidden="false" customHeight="true" outlineLevel="0" collapsed="false">
      <c r="A54" s="8"/>
      <c r="B54" s="9"/>
      <c r="C54" s="9"/>
      <c r="D54" s="9"/>
      <c r="E54" s="9"/>
      <c r="F54" s="9"/>
      <c r="G54" s="9"/>
      <c r="H54" s="9"/>
      <c r="I54" s="8"/>
      <c r="J54" s="8"/>
      <c r="K54" s="9"/>
      <c r="L54" s="10" t="str">
        <f aca="false">IF(OR(I54="",J54=""),"",MAX(0,J54-I54))</f>
        <v/>
      </c>
      <c r="M54" s="9"/>
    </row>
    <row r="55" customFormat="false" ht="15" hidden="false" customHeight="true" outlineLevel="0" collapsed="false">
      <c r="A55" s="8"/>
      <c r="B55" s="9"/>
      <c r="C55" s="9"/>
      <c r="D55" s="9"/>
      <c r="E55" s="9"/>
      <c r="F55" s="9"/>
      <c r="G55" s="9"/>
      <c r="H55" s="9"/>
      <c r="I55" s="8"/>
      <c r="J55" s="8"/>
      <c r="K55" s="9"/>
      <c r="L55" s="10" t="str">
        <f aca="false">IF(OR(I55="",J55=""),"",MAX(0,J55-I55))</f>
        <v/>
      </c>
      <c r="M55" s="9"/>
    </row>
    <row r="56" customFormat="false" ht="15" hidden="false" customHeight="true" outlineLevel="0" collapsed="false">
      <c r="A56" s="8"/>
      <c r="B56" s="9"/>
      <c r="C56" s="9"/>
      <c r="D56" s="9"/>
      <c r="E56" s="9"/>
      <c r="F56" s="9"/>
      <c r="G56" s="9"/>
      <c r="H56" s="9"/>
      <c r="I56" s="8"/>
      <c r="J56" s="8"/>
      <c r="K56" s="9"/>
      <c r="L56" s="10" t="str">
        <f aca="false">IF(OR(I56="",J56=""),"",MAX(0,J56-I56))</f>
        <v/>
      </c>
      <c r="M56" s="9"/>
    </row>
    <row r="57" customFormat="false" ht="15" hidden="false" customHeight="true" outlineLevel="0" collapsed="false">
      <c r="A57" s="8"/>
      <c r="B57" s="9"/>
      <c r="C57" s="9"/>
      <c r="D57" s="9"/>
      <c r="E57" s="9"/>
      <c r="F57" s="9"/>
      <c r="G57" s="9"/>
      <c r="H57" s="9"/>
      <c r="I57" s="8"/>
      <c r="J57" s="8"/>
      <c r="K57" s="9"/>
      <c r="L57" s="10" t="str">
        <f aca="false">IF(OR(I57="",J57=""),"",MAX(0,J57-I57))</f>
        <v/>
      </c>
      <c r="M57" s="9"/>
    </row>
    <row r="58" customFormat="false" ht="15" hidden="false" customHeight="true" outlineLevel="0" collapsed="false">
      <c r="A58" s="8"/>
      <c r="B58" s="9"/>
      <c r="C58" s="9"/>
      <c r="D58" s="9"/>
      <c r="E58" s="9"/>
      <c r="F58" s="9"/>
      <c r="G58" s="9"/>
      <c r="H58" s="9"/>
      <c r="I58" s="8"/>
      <c r="J58" s="8"/>
      <c r="K58" s="9"/>
      <c r="L58" s="10" t="str">
        <f aca="false">IF(OR(I58="",J58=""),"",MAX(0,J58-I58))</f>
        <v/>
      </c>
      <c r="M58" s="9"/>
    </row>
    <row r="59" customFormat="false" ht="15" hidden="false" customHeight="true" outlineLevel="0" collapsed="false">
      <c r="A59" s="8"/>
      <c r="B59" s="9"/>
      <c r="C59" s="9"/>
      <c r="D59" s="9"/>
      <c r="E59" s="9"/>
      <c r="F59" s="9"/>
      <c r="G59" s="9"/>
      <c r="H59" s="9"/>
      <c r="I59" s="8"/>
      <c r="J59" s="8"/>
      <c r="K59" s="9"/>
      <c r="L59" s="10" t="str">
        <f aca="false">IF(OR(I59="",J59=""),"",MAX(0,J59-I59))</f>
        <v/>
      </c>
      <c r="M59" s="9"/>
    </row>
    <row r="60" customFormat="false" ht="15" hidden="false" customHeight="true" outlineLevel="0" collapsed="false">
      <c r="A60" s="8"/>
      <c r="B60" s="9"/>
      <c r="C60" s="9"/>
      <c r="D60" s="9"/>
      <c r="E60" s="9"/>
      <c r="F60" s="9"/>
      <c r="G60" s="9"/>
      <c r="H60" s="9"/>
      <c r="I60" s="8"/>
      <c r="J60" s="8"/>
      <c r="K60" s="9"/>
      <c r="L60" s="10" t="str">
        <f aca="false">IF(OR(I60="",J60=""),"",MAX(0,J60-I60))</f>
        <v/>
      </c>
      <c r="M60" s="9"/>
    </row>
    <row r="61" customFormat="false" ht="15" hidden="false" customHeight="true" outlineLevel="0" collapsed="false">
      <c r="A61" s="8"/>
      <c r="B61" s="9"/>
      <c r="C61" s="9"/>
      <c r="D61" s="9"/>
      <c r="E61" s="9"/>
      <c r="F61" s="9"/>
      <c r="G61" s="9"/>
      <c r="H61" s="9"/>
      <c r="I61" s="8"/>
      <c r="J61" s="8"/>
      <c r="K61" s="9"/>
      <c r="L61" s="10" t="str">
        <f aca="false">IF(OR(I61="",J61=""),"",MAX(0,J61-I61))</f>
        <v/>
      </c>
      <c r="M61" s="9"/>
    </row>
    <row r="62" customFormat="false" ht="15" hidden="false" customHeight="true" outlineLevel="0" collapsed="false">
      <c r="A62" s="8"/>
      <c r="B62" s="9"/>
      <c r="C62" s="9"/>
      <c r="D62" s="9"/>
      <c r="E62" s="9"/>
      <c r="F62" s="9"/>
      <c r="G62" s="9"/>
      <c r="H62" s="9"/>
      <c r="I62" s="8"/>
      <c r="J62" s="8"/>
      <c r="K62" s="9"/>
      <c r="L62" s="10" t="str">
        <f aca="false">IF(OR(I62="",J62=""),"",MAX(0,J62-I62))</f>
        <v/>
      </c>
      <c r="M62" s="9"/>
    </row>
    <row r="63" customFormat="false" ht="15" hidden="false" customHeight="true" outlineLevel="0" collapsed="false">
      <c r="A63" s="8"/>
      <c r="B63" s="9"/>
      <c r="C63" s="9"/>
      <c r="D63" s="9"/>
      <c r="E63" s="9"/>
      <c r="F63" s="9"/>
      <c r="G63" s="9"/>
      <c r="H63" s="9"/>
      <c r="I63" s="8"/>
      <c r="J63" s="8"/>
      <c r="K63" s="9"/>
      <c r="L63" s="10" t="str">
        <f aca="false">IF(OR(I63="",J63=""),"",MAX(0,J63-I63))</f>
        <v/>
      </c>
      <c r="M63" s="9"/>
    </row>
    <row r="64" customFormat="false" ht="15" hidden="false" customHeight="true" outlineLevel="0" collapsed="false">
      <c r="A64" s="8"/>
      <c r="B64" s="9"/>
      <c r="C64" s="9"/>
      <c r="D64" s="9"/>
      <c r="E64" s="9"/>
      <c r="F64" s="9"/>
      <c r="G64" s="9"/>
      <c r="H64" s="9"/>
      <c r="I64" s="8"/>
      <c r="J64" s="8"/>
      <c r="K64" s="9"/>
      <c r="L64" s="10" t="str">
        <f aca="false">IF(OR(I64="",J64=""),"",MAX(0,J64-I64))</f>
        <v/>
      </c>
      <c r="M64" s="9"/>
    </row>
    <row r="65" customFormat="false" ht="15" hidden="false" customHeight="true" outlineLevel="0" collapsed="false">
      <c r="A65" s="8"/>
      <c r="B65" s="9"/>
      <c r="C65" s="9"/>
      <c r="D65" s="9"/>
      <c r="E65" s="9"/>
      <c r="F65" s="9"/>
      <c r="G65" s="9"/>
      <c r="H65" s="9"/>
      <c r="I65" s="8"/>
      <c r="J65" s="8"/>
      <c r="K65" s="9"/>
      <c r="L65" s="10" t="str">
        <f aca="false">IF(OR(I65="",J65=""),"",MAX(0,J65-I65))</f>
        <v/>
      </c>
      <c r="M65" s="9"/>
    </row>
    <row r="66" customFormat="false" ht="15" hidden="false" customHeight="true" outlineLevel="0" collapsed="false">
      <c r="A66" s="8"/>
      <c r="B66" s="9"/>
      <c r="C66" s="9"/>
      <c r="D66" s="9"/>
      <c r="E66" s="9"/>
      <c r="F66" s="9"/>
      <c r="G66" s="9"/>
      <c r="H66" s="9"/>
      <c r="I66" s="8"/>
      <c r="J66" s="8"/>
      <c r="K66" s="9"/>
      <c r="L66" s="10" t="str">
        <f aca="false">IF(OR(I66="",J66=""),"",MAX(0,J66-I66))</f>
        <v/>
      </c>
      <c r="M66" s="9"/>
    </row>
    <row r="67" customFormat="false" ht="15" hidden="false" customHeight="true" outlineLevel="0" collapsed="false">
      <c r="A67" s="8"/>
      <c r="B67" s="9"/>
      <c r="C67" s="9"/>
      <c r="D67" s="9"/>
      <c r="E67" s="9"/>
      <c r="F67" s="9"/>
      <c r="G67" s="9"/>
      <c r="H67" s="9"/>
      <c r="I67" s="8"/>
      <c r="J67" s="8"/>
      <c r="K67" s="9"/>
      <c r="L67" s="10" t="str">
        <f aca="false">IF(OR(I67="",J67=""),"",MAX(0,J67-I67))</f>
        <v/>
      </c>
      <c r="M67" s="9"/>
    </row>
    <row r="68" customFormat="false" ht="15" hidden="false" customHeight="true" outlineLevel="0" collapsed="false">
      <c r="A68" s="8"/>
      <c r="B68" s="9"/>
      <c r="C68" s="9"/>
      <c r="D68" s="9"/>
      <c r="E68" s="9"/>
      <c r="F68" s="9"/>
      <c r="G68" s="9"/>
      <c r="H68" s="9"/>
      <c r="I68" s="8"/>
      <c r="J68" s="8"/>
      <c r="K68" s="9"/>
      <c r="L68" s="10" t="str">
        <f aca="false">IF(OR(I68="",J68=""),"",MAX(0,J68-I68))</f>
        <v/>
      </c>
      <c r="M68" s="9"/>
    </row>
    <row r="69" customFormat="false" ht="15" hidden="false" customHeight="true" outlineLevel="0" collapsed="false">
      <c r="A69" s="8"/>
      <c r="B69" s="9"/>
      <c r="C69" s="9"/>
      <c r="D69" s="9"/>
      <c r="E69" s="9"/>
      <c r="F69" s="9"/>
      <c r="G69" s="9"/>
      <c r="H69" s="9"/>
      <c r="I69" s="8"/>
      <c r="J69" s="8"/>
      <c r="K69" s="9"/>
      <c r="L69" s="10" t="str">
        <f aca="false">IF(OR(I69="",J69=""),"",MAX(0,J69-I69))</f>
        <v/>
      </c>
      <c r="M69" s="9"/>
    </row>
    <row r="70" customFormat="false" ht="15" hidden="false" customHeight="true" outlineLevel="0" collapsed="false">
      <c r="A70" s="8"/>
      <c r="B70" s="9"/>
      <c r="C70" s="9"/>
      <c r="D70" s="9"/>
      <c r="E70" s="9"/>
      <c r="F70" s="9"/>
      <c r="G70" s="9"/>
      <c r="H70" s="9"/>
      <c r="I70" s="8"/>
      <c r="J70" s="8"/>
      <c r="K70" s="9"/>
      <c r="L70" s="10" t="str">
        <f aca="false">IF(OR(I70="",J70=""),"",MAX(0,J70-I70))</f>
        <v/>
      </c>
      <c r="M70" s="9"/>
    </row>
    <row r="71" customFormat="false" ht="15" hidden="false" customHeight="true" outlineLevel="0" collapsed="false">
      <c r="A71" s="8"/>
      <c r="B71" s="9"/>
      <c r="C71" s="9"/>
      <c r="D71" s="9"/>
      <c r="E71" s="9"/>
      <c r="F71" s="9"/>
      <c r="G71" s="9"/>
      <c r="H71" s="9"/>
      <c r="I71" s="8"/>
      <c r="J71" s="8"/>
      <c r="K71" s="9"/>
      <c r="L71" s="10" t="str">
        <f aca="false">IF(OR(I71="",J71=""),"",MAX(0,J71-I71))</f>
        <v/>
      </c>
      <c r="M71" s="9"/>
    </row>
    <row r="72" customFormat="false" ht="15" hidden="false" customHeight="true" outlineLevel="0" collapsed="false">
      <c r="A72" s="8"/>
      <c r="B72" s="9"/>
      <c r="C72" s="9"/>
      <c r="D72" s="9"/>
      <c r="E72" s="9"/>
      <c r="F72" s="9"/>
      <c r="G72" s="9"/>
      <c r="H72" s="9"/>
      <c r="I72" s="8"/>
      <c r="J72" s="8"/>
      <c r="K72" s="9"/>
      <c r="L72" s="10" t="str">
        <f aca="false">IF(OR(I72="",J72=""),"",MAX(0,J72-I72))</f>
        <v/>
      </c>
      <c r="M72" s="9"/>
    </row>
    <row r="73" customFormat="false" ht="15" hidden="false" customHeight="true" outlineLevel="0" collapsed="false">
      <c r="A73" s="8"/>
      <c r="B73" s="9"/>
      <c r="C73" s="9"/>
      <c r="D73" s="9"/>
      <c r="E73" s="9"/>
      <c r="F73" s="9"/>
      <c r="G73" s="9"/>
      <c r="H73" s="9"/>
      <c r="I73" s="8"/>
      <c r="J73" s="8"/>
      <c r="K73" s="9"/>
      <c r="L73" s="10" t="str">
        <f aca="false">IF(OR(I73="",J73=""),"",MAX(0,J73-I73))</f>
        <v/>
      </c>
      <c r="M73" s="9"/>
    </row>
    <row r="74" customFormat="false" ht="15" hidden="false" customHeight="true" outlineLevel="0" collapsed="false">
      <c r="A74" s="8"/>
      <c r="B74" s="9"/>
      <c r="C74" s="9"/>
      <c r="D74" s="9"/>
      <c r="E74" s="9"/>
      <c r="F74" s="9"/>
      <c r="G74" s="9"/>
      <c r="H74" s="9"/>
      <c r="I74" s="8"/>
      <c r="J74" s="8"/>
      <c r="K74" s="9"/>
      <c r="L74" s="10" t="str">
        <f aca="false">IF(OR(I74="",J74=""),"",MAX(0,J74-I74))</f>
        <v/>
      </c>
      <c r="M74" s="9"/>
    </row>
    <row r="75" customFormat="false" ht="15" hidden="false" customHeight="true" outlineLevel="0" collapsed="false">
      <c r="A75" s="8"/>
      <c r="B75" s="9"/>
      <c r="C75" s="9"/>
      <c r="D75" s="9"/>
      <c r="E75" s="9"/>
      <c r="F75" s="9"/>
      <c r="G75" s="9"/>
      <c r="H75" s="9"/>
      <c r="I75" s="8"/>
      <c r="J75" s="8"/>
      <c r="K75" s="9"/>
      <c r="L75" s="10" t="str">
        <f aca="false">IF(OR(I75="",J75=""),"",MAX(0,J75-I75))</f>
        <v/>
      </c>
      <c r="M75" s="9"/>
    </row>
    <row r="76" customFormat="false" ht="15" hidden="false" customHeight="true" outlineLevel="0" collapsed="false">
      <c r="A76" s="8"/>
      <c r="B76" s="9"/>
      <c r="C76" s="9"/>
      <c r="D76" s="9"/>
      <c r="E76" s="9"/>
      <c r="F76" s="9"/>
      <c r="G76" s="9"/>
      <c r="H76" s="9"/>
      <c r="I76" s="8"/>
      <c r="J76" s="8"/>
      <c r="K76" s="9"/>
      <c r="L76" s="10" t="str">
        <f aca="false">IF(OR(I76="",J76=""),"",MAX(0,J76-I76))</f>
        <v/>
      </c>
      <c r="M76" s="9"/>
    </row>
    <row r="77" customFormat="false" ht="15" hidden="false" customHeight="true" outlineLevel="0" collapsed="false">
      <c r="A77" s="8"/>
      <c r="B77" s="9"/>
      <c r="C77" s="9"/>
      <c r="D77" s="9"/>
      <c r="E77" s="9"/>
      <c r="F77" s="9"/>
      <c r="G77" s="9"/>
      <c r="H77" s="9"/>
      <c r="I77" s="8"/>
      <c r="J77" s="8"/>
      <c r="K77" s="9"/>
      <c r="L77" s="10" t="str">
        <f aca="false">IF(OR(I77="",J77=""),"",MAX(0,J77-I77))</f>
        <v/>
      </c>
      <c r="M77" s="9"/>
    </row>
    <row r="78" customFormat="false" ht="15" hidden="false" customHeight="true" outlineLevel="0" collapsed="false">
      <c r="A78" s="8"/>
      <c r="B78" s="9"/>
      <c r="C78" s="9"/>
      <c r="D78" s="9"/>
      <c r="E78" s="9"/>
      <c r="F78" s="9"/>
      <c r="G78" s="9"/>
      <c r="H78" s="9"/>
      <c r="I78" s="8"/>
      <c r="J78" s="8"/>
      <c r="K78" s="9"/>
      <c r="L78" s="10" t="str">
        <f aca="false">IF(OR(I78="",J78=""),"",MAX(0,J78-I78))</f>
        <v/>
      </c>
      <c r="M78" s="9"/>
    </row>
    <row r="79" customFormat="false" ht="15" hidden="false" customHeight="true" outlineLevel="0" collapsed="false">
      <c r="A79" s="8"/>
      <c r="B79" s="9"/>
      <c r="C79" s="9"/>
      <c r="D79" s="9"/>
      <c r="E79" s="9"/>
      <c r="F79" s="9"/>
      <c r="G79" s="9"/>
      <c r="H79" s="9"/>
      <c r="I79" s="8"/>
      <c r="J79" s="8"/>
      <c r="K79" s="9"/>
      <c r="L79" s="10" t="str">
        <f aca="false">IF(OR(I79="",J79=""),"",MAX(0,J79-I79))</f>
        <v/>
      </c>
      <c r="M79" s="9"/>
    </row>
    <row r="80" customFormat="false" ht="15" hidden="false" customHeight="true" outlineLevel="0" collapsed="false">
      <c r="A80" s="8"/>
      <c r="B80" s="9"/>
      <c r="C80" s="9"/>
      <c r="D80" s="9"/>
      <c r="E80" s="9"/>
      <c r="F80" s="9"/>
      <c r="G80" s="9"/>
      <c r="H80" s="9"/>
      <c r="I80" s="8"/>
      <c r="J80" s="8"/>
      <c r="K80" s="9"/>
      <c r="L80" s="10" t="str">
        <f aca="false">IF(OR(I80="",J80=""),"",MAX(0,J80-I80))</f>
        <v/>
      </c>
      <c r="M80" s="9"/>
    </row>
    <row r="81" customFormat="false" ht="15" hidden="false" customHeight="true" outlineLevel="0" collapsed="false">
      <c r="A81" s="8"/>
      <c r="B81" s="9"/>
      <c r="C81" s="9"/>
      <c r="D81" s="9"/>
      <c r="E81" s="9"/>
      <c r="F81" s="9"/>
      <c r="G81" s="9"/>
      <c r="H81" s="9"/>
      <c r="I81" s="8"/>
      <c r="J81" s="8"/>
      <c r="K81" s="9"/>
      <c r="L81" s="10" t="str">
        <f aca="false">IF(OR(I81="",J81=""),"",MAX(0,J81-I81))</f>
        <v/>
      </c>
      <c r="M81" s="9"/>
    </row>
    <row r="82" customFormat="false" ht="15" hidden="false" customHeight="true" outlineLevel="0" collapsed="false">
      <c r="A82" s="8"/>
      <c r="B82" s="9"/>
      <c r="C82" s="9"/>
      <c r="D82" s="9"/>
      <c r="E82" s="9"/>
      <c r="F82" s="9"/>
      <c r="G82" s="9"/>
      <c r="H82" s="9"/>
      <c r="I82" s="8"/>
      <c r="J82" s="8"/>
      <c r="K82" s="9"/>
      <c r="L82" s="10" t="str">
        <f aca="false">IF(OR(I82="",J82=""),"",MAX(0,J82-I82))</f>
        <v/>
      </c>
      <c r="M82" s="9"/>
    </row>
    <row r="83" customFormat="false" ht="15" hidden="false" customHeight="true" outlineLevel="0" collapsed="false">
      <c r="A83" s="8"/>
      <c r="B83" s="9"/>
      <c r="C83" s="9"/>
      <c r="D83" s="9"/>
      <c r="E83" s="9"/>
      <c r="F83" s="9"/>
      <c r="G83" s="9"/>
      <c r="H83" s="9"/>
      <c r="I83" s="8"/>
      <c r="J83" s="8"/>
      <c r="K83" s="9"/>
      <c r="L83" s="10" t="str">
        <f aca="false">IF(OR(I83="",J83=""),"",MAX(0,J83-I83))</f>
        <v/>
      </c>
      <c r="M83" s="9"/>
    </row>
    <row r="84" customFormat="false" ht="15" hidden="false" customHeight="true" outlineLevel="0" collapsed="false">
      <c r="A84" s="8"/>
      <c r="B84" s="9"/>
      <c r="C84" s="9"/>
      <c r="D84" s="9"/>
      <c r="E84" s="9"/>
      <c r="F84" s="9"/>
      <c r="G84" s="9"/>
      <c r="H84" s="9"/>
      <c r="I84" s="8"/>
      <c r="J84" s="8"/>
      <c r="K84" s="9"/>
      <c r="L84" s="10" t="str">
        <f aca="false">IF(OR(I84="",J84=""),"",MAX(0,J84-I84))</f>
        <v/>
      </c>
      <c r="M84" s="9"/>
    </row>
    <row r="85" customFormat="false" ht="15" hidden="false" customHeight="true" outlineLevel="0" collapsed="false">
      <c r="A85" s="8"/>
      <c r="B85" s="9"/>
      <c r="C85" s="9"/>
      <c r="D85" s="9"/>
      <c r="E85" s="9"/>
      <c r="F85" s="9"/>
      <c r="G85" s="9"/>
      <c r="H85" s="9"/>
      <c r="I85" s="8"/>
      <c r="J85" s="8"/>
      <c r="K85" s="9"/>
      <c r="L85" s="10" t="str">
        <f aca="false">IF(OR(I85="",J85=""),"",MAX(0,J85-I85))</f>
        <v/>
      </c>
      <c r="M85" s="9"/>
    </row>
    <row r="86" customFormat="false" ht="15" hidden="false" customHeight="true" outlineLevel="0" collapsed="false">
      <c r="A86" s="8"/>
      <c r="B86" s="9"/>
      <c r="C86" s="9"/>
      <c r="D86" s="9"/>
      <c r="E86" s="9"/>
      <c r="F86" s="9"/>
      <c r="G86" s="9"/>
      <c r="H86" s="9"/>
      <c r="I86" s="8"/>
      <c r="J86" s="8"/>
      <c r="K86" s="9"/>
      <c r="L86" s="10" t="str">
        <f aca="false">IF(OR(I86="",J86=""),"",MAX(0,J86-I86))</f>
        <v/>
      </c>
      <c r="M86" s="9"/>
    </row>
    <row r="87" customFormat="false" ht="15" hidden="false" customHeight="true" outlineLevel="0" collapsed="false">
      <c r="A87" s="8"/>
      <c r="B87" s="9"/>
      <c r="C87" s="9"/>
      <c r="D87" s="9"/>
      <c r="E87" s="9"/>
      <c r="F87" s="9"/>
      <c r="G87" s="9"/>
      <c r="H87" s="9"/>
      <c r="I87" s="8"/>
      <c r="J87" s="8"/>
      <c r="K87" s="9"/>
      <c r="L87" s="10" t="str">
        <f aca="false">IF(OR(I87="",J87=""),"",MAX(0,J87-I87))</f>
        <v/>
      </c>
      <c r="M87" s="9"/>
    </row>
    <row r="88" customFormat="false" ht="15" hidden="false" customHeight="true" outlineLevel="0" collapsed="false">
      <c r="A88" s="8"/>
      <c r="B88" s="9"/>
      <c r="C88" s="9"/>
      <c r="D88" s="9"/>
      <c r="E88" s="9"/>
      <c r="F88" s="9"/>
      <c r="G88" s="9"/>
      <c r="H88" s="9"/>
      <c r="I88" s="8"/>
      <c r="J88" s="8"/>
      <c r="K88" s="9"/>
      <c r="L88" s="10" t="str">
        <f aca="false">IF(OR(I88="",J88=""),"",MAX(0,J88-I88))</f>
        <v/>
      </c>
      <c r="M88" s="9"/>
    </row>
    <row r="89" customFormat="false" ht="15" hidden="false" customHeight="true" outlineLevel="0" collapsed="false">
      <c r="A89" s="8"/>
      <c r="B89" s="9"/>
      <c r="C89" s="9"/>
      <c r="D89" s="9"/>
      <c r="E89" s="9"/>
      <c r="F89" s="9"/>
      <c r="G89" s="9"/>
      <c r="H89" s="9"/>
      <c r="I89" s="8"/>
      <c r="J89" s="8"/>
      <c r="K89" s="9"/>
      <c r="L89" s="10" t="str">
        <f aca="false">IF(OR(I89="",J89=""),"",MAX(0,J89-I89))</f>
        <v/>
      </c>
      <c r="M89" s="9"/>
    </row>
    <row r="90" customFormat="false" ht="15" hidden="false" customHeight="true" outlineLevel="0" collapsed="false">
      <c r="A90" s="8"/>
      <c r="B90" s="9"/>
      <c r="C90" s="9"/>
      <c r="D90" s="9"/>
      <c r="E90" s="9"/>
      <c r="F90" s="9"/>
      <c r="G90" s="9"/>
      <c r="H90" s="9"/>
      <c r="I90" s="8"/>
      <c r="J90" s="8"/>
      <c r="K90" s="9"/>
      <c r="L90" s="10" t="str">
        <f aca="false">IF(OR(I90="",J90=""),"",MAX(0,J90-I90))</f>
        <v/>
      </c>
      <c r="M90" s="9"/>
    </row>
    <row r="91" customFormat="false" ht="15" hidden="false" customHeight="true" outlineLevel="0" collapsed="false">
      <c r="A91" s="8"/>
      <c r="B91" s="9"/>
      <c r="C91" s="9"/>
      <c r="D91" s="9"/>
      <c r="E91" s="9"/>
      <c r="F91" s="9"/>
      <c r="G91" s="9"/>
      <c r="H91" s="9"/>
      <c r="I91" s="8"/>
      <c r="J91" s="8"/>
      <c r="K91" s="9"/>
      <c r="L91" s="10" t="str">
        <f aca="false">IF(OR(I91="",J91=""),"",MAX(0,J91-I91))</f>
        <v/>
      </c>
      <c r="M91" s="9"/>
    </row>
    <row r="92" customFormat="false" ht="15" hidden="false" customHeight="true" outlineLevel="0" collapsed="false">
      <c r="A92" s="8"/>
      <c r="B92" s="9"/>
      <c r="C92" s="9"/>
      <c r="D92" s="9"/>
      <c r="E92" s="9"/>
      <c r="F92" s="9"/>
      <c r="G92" s="9"/>
      <c r="H92" s="9"/>
      <c r="I92" s="8"/>
      <c r="J92" s="8"/>
      <c r="K92" s="9"/>
      <c r="L92" s="10" t="str">
        <f aca="false">IF(OR(I92="",J92=""),"",MAX(0,J92-I92))</f>
        <v/>
      </c>
      <c r="M92" s="9"/>
    </row>
    <row r="93" customFormat="false" ht="15" hidden="false" customHeight="true" outlineLevel="0" collapsed="false">
      <c r="A93" s="8"/>
      <c r="B93" s="9"/>
      <c r="C93" s="9"/>
      <c r="D93" s="9"/>
      <c r="E93" s="9"/>
      <c r="F93" s="9"/>
      <c r="G93" s="9"/>
      <c r="H93" s="9"/>
      <c r="I93" s="8"/>
      <c r="J93" s="8"/>
      <c r="K93" s="9"/>
      <c r="L93" s="10" t="str">
        <f aca="false">IF(OR(I93="",J93=""),"",MAX(0,J93-I93))</f>
        <v/>
      </c>
      <c r="M93" s="9"/>
    </row>
    <row r="94" customFormat="false" ht="15" hidden="false" customHeight="true" outlineLevel="0" collapsed="false">
      <c r="A94" s="8"/>
      <c r="B94" s="9"/>
      <c r="C94" s="9"/>
      <c r="D94" s="9"/>
      <c r="E94" s="9"/>
      <c r="F94" s="9"/>
      <c r="G94" s="9"/>
      <c r="H94" s="9"/>
      <c r="I94" s="8"/>
      <c r="J94" s="8"/>
      <c r="K94" s="9"/>
      <c r="L94" s="10" t="str">
        <f aca="false">IF(OR(I94="",J94=""),"",MAX(0,J94-I94))</f>
        <v/>
      </c>
      <c r="M94" s="9"/>
    </row>
    <row r="95" customFormat="false" ht="15" hidden="false" customHeight="true" outlineLevel="0" collapsed="false">
      <c r="A95" s="8"/>
      <c r="B95" s="9"/>
      <c r="C95" s="9"/>
      <c r="D95" s="9"/>
      <c r="E95" s="9"/>
      <c r="F95" s="9"/>
      <c r="G95" s="9"/>
      <c r="H95" s="9"/>
      <c r="I95" s="8"/>
      <c r="J95" s="8"/>
      <c r="K95" s="9"/>
      <c r="L95" s="10" t="str">
        <f aca="false">IF(OR(I95="",J95=""),"",MAX(0,J95-I95))</f>
        <v/>
      </c>
      <c r="M95" s="9"/>
    </row>
    <row r="96" customFormat="false" ht="15" hidden="false" customHeight="true" outlineLevel="0" collapsed="false">
      <c r="A96" s="8"/>
      <c r="B96" s="9"/>
      <c r="C96" s="9"/>
      <c r="D96" s="9"/>
      <c r="E96" s="9"/>
      <c r="F96" s="9"/>
      <c r="G96" s="9"/>
      <c r="H96" s="9"/>
      <c r="I96" s="8"/>
      <c r="J96" s="8"/>
      <c r="K96" s="9"/>
      <c r="L96" s="10" t="str">
        <f aca="false">IF(OR(I96="",J96=""),"",MAX(0,J96-I96))</f>
        <v/>
      </c>
      <c r="M96" s="9"/>
    </row>
    <row r="97" customFormat="false" ht="15" hidden="false" customHeight="true" outlineLevel="0" collapsed="false">
      <c r="A97" s="8"/>
      <c r="B97" s="9"/>
      <c r="C97" s="9"/>
      <c r="D97" s="9"/>
      <c r="E97" s="9"/>
      <c r="F97" s="9"/>
      <c r="G97" s="9"/>
      <c r="H97" s="9"/>
      <c r="I97" s="8"/>
      <c r="J97" s="8"/>
      <c r="K97" s="9"/>
      <c r="L97" s="10" t="str">
        <f aca="false">IF(OR(I97="",J97=""),"",MAX(0,J97-I97))</f>
        <v/>
      </c>
      <c r="M97" s="9"/>
    </row>
    <row r="98" customFormat="false" ht="15" hidden="false" customHeight="true" outlineLevel="0" collapsed="false">
      <c r="A98" s="8"/>
      <c r="B98" s="9"/>
      <c r="C98" s="9"/>
      <c r="D98" s="9"/>
      <c r="E98" s="9"/>
      <c r="F98" s="9"/>
      <c r="G98" s="9"/>
      <c r="H98" s="9"/>
      <c r="I98" s="8"/>
      <c r="J98" s="8"/>
      <c r="K98" s="9"/>
      <c r="L98" s="10" t="str">
        <f aca="false">IF(OR(I98="",J98=""),"",MAX(0,J98-I98))</f>
        <v/>
      </c>
      <c r="M98" s="9"/>
    </row>
    <row r="99" customFormat="false" ht="15" hidden="false" customHeight="true" outlineLevel="0" collapsed="false">
      <c r="A99" s="8"/>
      <c r="B99" s="9"/>
      <c r="C99" s="9"/>
      <c r="D99" s="9"/>
      <c r="E99" s="9"/>
      <c r="F99" s="9"/>
      <c r="G99" s="9"/>
      <c r="H99" s="9"/>
      <c r="I99" s="8"/>
      <c r="J99" s="8"/>
      <c r="K99" s="9"/>
      <c r="L99" s="10" t="str">
        <f aca="false">IF(OR(I99="",J99=""),"",MAX(0,J99-I99))</f>
        <v/>
      </c>
      <c r="M99" s="9"/>
    </row>
    <row r="100" customFormat="false" ht="15" hidden="false" customHeight="true" outlineLevel="0" collapsed="false">
      <c r="A100" s="8"/>
      <c r="B100" s="9"/>
      <c r="C100" s="9"/>
      <c r="D100" s="9"/>
      <c r="E100" s="9"/>
      <c r="F100" s="9"/>
      <c r="G100" s="9"/>
      <c r="H100" s="9"/>
      <c r="I100" s="8"/>
      <c r="J100" s="8"/>
      <c r="K100" s="9"/>
      <c r="L100" s="10" t="str">
        <f aca="false">IF(OR(I100="",J100=""),"",MAX(0,J100-I100))</f>
        <v/>
      </c>
      <c r="M100" s="9"/>
    </row>
    <row r="101" customFormat="false" ht="15" hidden="false" customHeight="true" outlineLevel="0" collapsed="false">
      <c r="A101" s="8"/>
      <c r="B101" s="9"/>
      <c r="C101" s="9"/>
      <c r="D101" s="9"/>
      <c r="E101" s="9"/>
      <c r="F101" s="9"/>
      <c r="G101" s="9"/>
      <c r="H101" s="9"/>
      <c r="I101" s="8"/>
      <c r="J101" s="8"/>
      <c r="K101" s="9"/>
      <c r="L101" s="10" t="str">
        <f aca="false">IF(OR(I101="",J101=""),"",MAX(0,J101-I101))</f>
        <v/>
      </c>
      <c r="M101" s="9"/>
    </row>
    <row r="102" customFormat="false" ht="15" hidden="false" customHeight="true" outlineLevel="0" collapsed="false">
      <c r="A102" s="8"/>
      <c r="B102" s="9"/>
      <c r="C102" s="9"/>
      <c r="D102" s="9"/>
      <c r="E102" s="9"/>
      <c r="F102" s="9"/>
      <c r="G102" s="9"/>
      <c r="H102" s="9"/>
      <c r="I102" s="8"/>
      <c r="J102" s="8"/>
      <c r="K102" s="9"/>
      <c r="L102" s="10" t="str">
        <f aca="false">IF(OR(I102="",J102=""),"",MAX(0,J102-I102))</f>
        <v/>
      </c>
      <c r="M102" s="9"/>
    </row>
    <row r="103" customFormat="false" ht="15" hidden="false" customHeight="true" outlineLevel="0" collapsed="false">
      <c r="A103" s="8"/>
      <c r="B103" s="9"/>
      <c r="C103" s="9"/>
      <c r="D103" s="9"/>
      <c r="E103" s="9"/>
      <c r="F103" s="9"/>
      <c r="G103" s="9"/>
      <c r="H103" s="9"/>
      <c r="I103" s="8"/>
      <c r="J103" s="8"/>
      <c r="K103" s="9"/>
      <c r="L103" s="10" t="str">
        <f aca="false">IF(OR(I103="",J103=""),"",MAX(0,J103-I103))</f>
        <v/>
      </c>
      <c r="M103" s="9"/>
    </row>
    <row r="104" customFormat="false" ht="15" hidden="false" customHeight="true" outlineLevel="0" collapsed="false">
      <c r="A104" s="8"/>
      <c r="B104" s="9"/>
      <c r="C104" s="9"/>
      <c r="D104" s="9"/>
      <c r="E104" s="9"/>
      <c r="F104" s="9"/>
      <c r="G104" s="9"/>
      <c r="H104" s="9"/>
      <c r="I104" s="8"/>
      <c r="J104" s="8"/>
      <c r="K104" s="9"/>
      <c r="L104" s="10" t="str">
        <f aca="false">IF(OR(I104="",J104=""),"",MAX(0,J104-I104))</f>
        <v/>
      </c>
      <c r="M104" s="9"/>
    </row>
    <row r="105" customFormat="false" ht="15" hidden="false" customHeight="true" outlineLevel="0" collapsed="false">
      <c r="A105" s="8"/>
      <c r="B105" s="9"/>
      <c r="C105" s="9"/>
      <c r="D105" s="9"/>
      <c r="E105" s="9"/>
      <c r="F105" s="9"/>
      <c r="G105" s="9"/>
      <c r="H105" s="9"/>
      <c r="I105" s="8"/>
      <c r="J105" s="8"/>
      <c r="K105" s="9"/>
      <c r="L105" s="10" t="str">
        <f aca="false">IF(OR(I105="",J105=""),"",MAX(0,J105-I105))</f>
        <v/>
      </c>
      <c r="M105" s="9"/>
    </row>
    <row r="106" customFormat="false" ht="15" hidden="false" customHeight="true" outlineLevel="0" collapsed="false">
      <c r="A106" s="8"/>
      <c r="B106" s="9"/>
      <c r="C106" s="9"/>
      <c r="D106" s="9"/>
      <c r="E106" s="9"/>
      <c r="F106" s="9"/>
      <c r="G106" s="9"/>
      <c r="H106" s="9"/>
      <c r="I106" s="8"/>
      <c r="J106" s="8"/>
      <c r="K106" s="9"/>
      <c r="L106" s="10" t="str">
        <f aca="false">IF(OR(I106="",J106=""),"",MAX(0,J106-I106))</f>
        <v/>
      </c>
      <c r="M106" s="9"/>
    </row>
    <row r="107" customFormat="false" ht="15" hidden="false" customHeight="true" outlineLevel="0" collapsed="false">
      <c r="A107" s="8"/>
      <c r="B107" s="9"/>
      <c r="C107" s="9"/>
      <c r="D107" s="9"/>
      <c r="E107" s="9"/>
      <c r="F107" s="9"/>
      <c r="G107" s="9"/>
      <c r="H107" s="9"/>
      <c r="I107" s="8"/>
      <c r="J107" s="8"/>
      <c r="K107" s="9"/>
      <c r="L107" s="10" t="str">
        <f aca="false">IF(OR(I107="",J107=""),"",MAX(0,J107-I107))</f>
        <v/>
      </c>
      <c r="M107" s="9"/>
    </row>
    <row r="108" customFormat="false" ht="15" hidden="false" customHeight="true" outlineLevel="0" collapsed="false">
      <c r="A108" s="8"/>
      <c r="B108" s="9"/>
      <c r="C108" s="9"/>
      <c r="D108" s="9"/>
      <c r="E108" s="9"/>
      <c r="F108" s="9"/>
      <c r="G108" s="9"/>
      <c r="H108" s="9"/>
      <c r="I108" s="8"/>
      <c r="J108" s="8"/>
      <c r="K108" s="9"/>
      <c r="L108" s="10" t="str">
        <f aca="false">IF(OR(I108="",J108=""),"",MAX(0,J108-I108))</f>
        <v/>
      </c>
      <c r="M108" s="9"/>
    </row>
    <row r="109" customFormat="false" ht="15" hidden="false" customHeight="true" outlineLevel="0" collapsed="false">
      <c r="A109" s="8"/>
      <c r="B109" s="9"/>
      <c r="C109" s="9"/>
      <c r="D109" s="9"/>
      <c r="E109" s="9"/>
      <c r="F109" s="9"/>
      <c r="G109" s="9"/>
      <c r="H109" s="9"/>
      <c r="I109" s="8"/>
      <c r="J109" s="8"/>
      <c r="K109" s="9"/>
      <c r="L109" s="10" t="str">
        <f aca="false">IF(OR(I109="",J109=""),"",MAX(0,J109-I109))</f>
        <v/>
      </c>
      <c r="M109" s="9"/>
    </row>
    <row r="110" customFormat="false" ht="15" hidden="false" customHeight="true" outlineLevel="0" collapsed="false">
      <c r="A110" s="8"/>
      <c r="B110" s="9"/>
      <c r="C110" s="9"/>
      <c r="D110" s="9"/>
      <c r="E110" s="9"/>
      <c r="F110" s="9"/>
      <c r="G110" s="9"/>
      <c r="H110" s="9"/>
      <c r="I110" s="8"/>
      <c r="J110" s="8"/>
      <c r="K110" s="9"/>
      <c r="L110" s="10" t="str">
        <f aca="false">IF(OR(I110="",J110=""),"",MAX(0,J110-I110))</f>
        <v/>
      </c>
      <c r="M110" s="9"/>
    </row>
    <row r="111" customFormat="false" ht="15" hidden="false" customHeight="true" outlineLevel="0" collapsed="false">
      <c r="A111" s="8"/>
      <c r="B111" s="9"/>
      <c r="C111" s="9"/>
      <c r="D111" s="9"/>
      <c r="E111" s="9"/>
      <c r="F111" s="9"/>
      <c r="G111" s="9"/>
      <c r="H111" s="9"/>
      <c r="I111" s="8"/>
      <c r="J111" s="8"/>
      <c r="K111" s="9"/>
      <c r="L111" s="10" t="str">
        <f aca="false">IF(OR(I111="",J111=""),"",MAX(0,J111-I111))</f>
        <v/>
      </c>
      <c r="M111" s="9"/>
    </row>
    <row r="112" customFormat="false" ht="15" hidden="false" customHeight="true" outlineLevel="0" collapsed="false">
      <c r="A112" s="8"/>
      <c r="B112" s="9"/>
      <c r="C112" s="9"/>
      <c r="D112" s="9"/>
      <c r="E112" s="9"/>
      <c r="F112" s="9"/>
      <c r="G112" s="9"/>
      <c r="H112" s="9"/>
      <c r="I112" s="8"/>
      <c r="J112" s="8"/>
      <c r="K112" s="9"/>
      <c r="L112" s="10" t="str">
        <f aca="false">IF(OR(I112="",J112=""),"",MAX(0,J112-I112))</f>
        <v/>
      </c>
      <c r="M112" s="9"/>
    </row>
    <row r="113" customFormat="false" ht="15" hidden="false" customHeight="true" outlineLevel="0" collapsed="false">
      <c r="A113" s="8"/>
      <c r="B113" s="9"/>
      <c r="C113" s="9"/>
      <c r="D113" s="9"/>
      <c r="E113" s="9"/>
      <c r="F113" s="9"/>
      <c r="G113" s="9"/>
      <c r="H113" s="9"/>
      <c r="I113" s="8"/>
      <c r="J113" s="8"/>
      <c r="K113" s="9"/>
      <c r="L113" s="10" t="str">
        <f aca="false">IF(OR(I113="",J113=""),"",MAX(0,J113-I113))</f>
        <v/>
      </c>
      <c r="M113" s="9"/>
    </row>
    <row r="114" customFormat="false" ht="15" hidden="false" customHeight="true" outlineLevel="0" collapsed="false">
      <c r="A114" s="8"/>
      <c r="B114" s="9"/>
      <c r="C114" s="9"/>
      <c r="D114" s="9"/>
      <c r="E114" s="9"/>
      <c r="F114" s="9"/>
      <c r="G114" s="9"/>
      <c r="H114" s="9"/>
      <c r="I114" s="8"/>
      <c r="J114" s="8"/>
      <c r="K114" s="9"/>
      <c r="L114" s="10" t="str">
        <f aca="false">IF(OR(I114="",J114=""),"",MAX(0,J114-I114))</f>
        <v/>
      </c>
      <c r="M114" s="9"/>
    </row>
    <row r="115" customFormat="false" ht="15" hidden="false" customHeight="true" outlineLevel="0" collapsed="false">
      <c r="A115" s="8"/>
      <c r="B115" s="9"/>
      <c r="C115" s="9"/>
      <c r="D115" s="9"/>
      <c r="E115" s="9"/>
      <c r="F115" s="9"/>
      <c r="G115" s="9"/>
      <c r="H115" s="9"/>
      <c r="I115" s="8"/>
      <c r="J115" s="8"/>
      <c r="K115" s="9"/>
      <c r="L115" s="10" t="str">
        <f aca="false">IF(OR(I115="",J115=""),"",MAX(0,J115-I115))</f>
        <v/>
      </c>
      <c r="M115" s="9"/>
    </row>
    <row r="116" customFormat="false" ht="15" hidden="false" customHeight="true" outlineLevel="0" collapsed="false">
      <c r="A116" s="8"/>
      <c r="B116" s="9"/>
      <c r="C116" s="9"/>
      <c r="D116" s="9"/>
      <c r="E116" s="9"/>
      <c r="F116" s="9"/>
      <c r="G116" s="9"/>
      <c r="H116" s="9"/>
      <c r="I116" s="8"/>
      <c r="J116" s="8"/>
      <c r="K116" s="9"/>
      <c r="L116" s="10" t="str">
        <f aca="false">IF(OR(I116="",J116=""),"",MAX(0,J116-I116))</f>
        <v/>
      </c>
      <c r="M116" s="9"/>
    </row>
    <row r="117" customFormat="false" ht="15" hidden="false" customHeight="true" outlineLevel="0" collapsed="false">
      <c r="A117" s="8"/>
      <c r="B117" s="9"/>
      <c r="C117" s="9"/>
      <c r="D117" s="9"/>
      <c r="E117" s="9"/>
      <c r="F117" s="9"/>
      <c r="G117" s="9"/>
      <c r="H117" s="9"/>
      <c r="I117" s="8"/>
      <c r="J117" s="8"/>
      <c r="K117" s="9"/>
      <c r="L117" s="10" t="str">
        <f aca="false">IF(OR(I117="",J117=""),"",MAX(0,J117-I117))</f>
        <v/>
      </c>
      <c r="M117" s="9"/>
    </row>
    <row r="118" customFormat="false" ht="15" hidden="false" customHeight="true" outlineLevel="0" collapsed="false">
      <c r="A118" s="8"/>
      <c r="B118" s="9"/>
      <c r="C118" s="9"/>
      <c r="D118" s="9"/>
      <c r="E118" s="9"/>
      <c r="F118" s="9"/>
      <c r="G118" s="9"/>
      <c r="H118" s="9"/>
      <c r="I118" s="8"/>
      <c r="J118" s="8"/>
      <c r="K118" s="9"/>
      <c r="L118" s="10" t="str">
        <f aca="false">IF(OR(I118="",J118=""),"",MAX(0,J118-I118))</f>
        <v/>
      </c>
      <c r="M118" s="9"/>
    </row>
    <row r="119" customFormat="false" ht="15" hidden="false" customHeight="true" outlineLevel="0" collapsed="false">
      <c r="A119" s="8"/>
      <c r="B119" s="9"/>
      <c r="C119" s="9"/>
      <c r="D119" s="9"/>
      <c r="E119" s="9"/>
      <c r="F119" s="9"/>
      <c r="G119" s="9"/>
      <c r="H119" s="9"/>
      <c r="I119" s="8"/>
      <c r="J119" s="8"/>
      <c r="K119" s="9"/>
      <c r="L119" s="10" t="str">
        <f aca="false">IF(OR(I119="",J119=""),"",MAX(0,J119-I119))</f>
        <v/>
      </c>
      <c r="M119" s="9"/>
    </row>
    <row r="120" customFormat="false" ht="15" hidden="false" customHeight="true" outlineLevel="0" collapsed="false">
      <c r="A120" s="8"/>
      <c r="B120" s="9"/>
      <c r="C120" s="9"/>
      <c r="D120" s="9"/>
      <c r="E120" s="9"/>
      <c r="F120" s="9"/>
      <c r="G120" s="9"/>
      <c r="H120" s="9"/>
      <c r="I120" s="8"/>
      <c r="J120" s="8"/>
      <c r="K120" s="9"/>
      <c r="L120" s="10" t="str">
        <f aca="false">IF(OR(I120="",J120=""),"",MAX(0,J120-I120))</f>
        <v/>
      </c>
      <c r="M120" s="9"/>
    </row>
    <row r="121" customFormat="false" ht="15" hidden="false" customHeight="true" outlineLevel="0" collapsed="false">
      <c r="A121" s="8"/>
      <c r="B121" s="9"/>
      <c r="C121" s="9"/>
      <c r="D121" s="9"/>
      <c r="E121" s="9"/>
      <c r="F121" s="9"/>
      <c r="G121" s="9"/>
      <c r="H121" s="9"/>
      <c r="I121" s="8"/>
      <c r="J121" s="8"/>
      <c r="K121" s="9"/>
      <c r="L121" s="10" t="str">
        <f aca="false">IF(OR(I121="",J121=""),"",MAX(0,J121-I121))</f>
        <v/>
      </c>
      <c r="M121" s="9"/>
    </row>
    <row r="122" customFormat="false" ht="15" hidden="false" customHeight="true" outlineLevel="0" collapsed="false">
      <c r="A122" s="8"/>
      <c r="B122" s="9"/>
      <c r="C122" s="9"/>
      <c r="D122" s="9"/>
      <c r="E122" s="9"/>
      <c r="F122" s="9"/>
      <c r="G122" s="9"/>
      <c r="H122" s="9"/>
      <c r="I122" s="8"/>
      <c r="J122" s="8"/>
      <c r="K122" s="9"/>
      <c r="L122" s="10" t="str">
        <f aca="false">IF(OR(I122="",J122=""),"",MAX(0,J122-I122))</f>
        <v/>
      </c>
      <c r="M122" s="9"/>
    </row>
    <row r="123" customFormat="false" ht="15" hidden="false" customHeight="true" outlineLevel="0" collapsed="false">
      <c r="A123" s="8"/>
      <c r="B123" s="9"/>
      <c r="C123" s="9"/>
      <c r="D123" s="9"/>
      <c r="E123" s="9"/>
      <c r="F123" s="9"/>
      <c r="G123" s="9"/>
      <c r="H123" s="9"/>
      <c r="I123" s="8"/>
      <c r="J123" s="8"/>
      <c r="K123" s="9"/>
      <c r="L123" s="10" t="str">
        <f aca="false">IF(OR(I123="",J123=""),"",MAX(0,J123-I123))</f>
        <v/>
      </c>
      <c r="M123" s="9"/>
    </row>
    <row r="124" customFormat="false" ht="15" hidden="false" customHeight="true" outlineLevel="0" collapsed="false">
      <c r="A124" s="8"/>
      <c r="B124" s="9"/>
      <c r="C124" s="9"/>
      <c r="D124" s="9"/>
      <c r="E124" s="9"/>
      <c r="F124" s="9"/>
      <c r="G124" s="9"/>
      <c r="H124" s="9"/>
      <c r="I124" s="8"/>
      <c r="J124" s="8"/>
      <c r="K124" s="9"/>
      <c r="L124" s="10" t="str">
        <f aca="false">IF(OR(I124="",J124=""),"",MAX(0,J124-I124))</f>
        <v/>
      </c>
      <c r="M124" s="9"/>
    </row>
    <row r="125" customFormat="false" ht="15" hidden="false" customHeight="true" outlineLevel="0" collapsed="false">
      <c r="A125" s="8"/>
      <c r="B125" s="9"/>
      <c r="C125" s="9"/>
      <c r="D125" s="9"/>
      <c r="E125" s="9"/>
      <c r="F125" s="9"/>
      <c r="G125" s="9"/>
      <c r="H125" s="9"/>
      <c r="I125" s="8"/>
      <c r="J125" s="8"/>
      <c r="K125" s="9"/>
      <c r="L125" s="10" t="str">
        <f aca="false">IF(OR(I125="",J125=""),"",MAX(0,J125-I125))</f>
        <v/>
      </c>
      <c r="M125" s="9"/>
    </row>
    <row r="126" customFormat="false" ht="15" hidden="false" customHeight="true" outlineLevel="0" collapsed="false">
      <c r="A126" s="8"/>
      <c r="B126" s="9"/>
      <c r="C126" s="9"/>
      <c r="D126" s="9"/>
      <c r="E126" s="9"/>
      <c r="F126" s="9"/>
      <c r="G126" s="9"/>
      <c r="H126" s="9"/>
      <c r="I126" s="8"/>
      <c r="J126" s="8"/>
      <c r="K126" s="9"/>
      <c r="L126" s="10" t="str">
        <f aca="false">IF(OR(I126="",J126=""),"",MAX(0,J126-I126))</f>
        <v/>
      </c>
      <c r="M126" s="9"/>
    </row>
    <row r="127" customFormat="false" ht="15" hidden="false" customHeight="true" outlineLevel="0" collapsed="false">
      <c r="A127" s="8"/>
      <c r="B127" s="9"/>
      <c r="C127" s="9"/>
      <c r="D127" s="9"/>
      <c r="E127" s="9"/>
      <c r="F127" s="9"/>
      <c r="G127" s="9"/>
      <c r="H127" s="9"/>
      <c r="I127" s="8"/>
      <c r="J127" s="8"/>
      <c r="K127" s="9"/>
      <c r="L127" s="10" t="str">
        <f aca="false">IF(OR(I127="",J127=""),"",MAX(0,J127-I127))</f>
        <v/>
      </c>
      <c r="M127" s="9"/>
    </row>
    <row r="128" customFormat="false" ht="15" hidden="false" customHeight="true" outlineLevel="0" collapsed="false">
      <c r="A128" s="8"/>
      <c r="B128" s="9"/>
      <c r="C128" s="9"/>
      <c r="D128" s="9"/>
      <c r="E128" s="9"/>
      <c r="F128" s="9"/>
      <c r="G128" s="9"/>
      <c r="H128" s="9"/>
      <c r="I128" s="8"/>
      <c r="J128" s="8"/>
      <c r="K128" s="9"/>
      <c r="L128" s="10" t="str">
        <f aca="false">IF(OR(I128="",J128=""),"",MAX(0,J128-I128))</f>
        <v/>
      </c>
      <c r="M128" s="9"/>
    </row>
    <row r="129" customFormat="false" ht="15" hidden="false" customHeight="true" outlineLevel="0" collapsed="false">
      <c r="A129" s="8"/>
      <c r="B129" s="9"/>
      <c r="C129" s="9"/>
      <c r="D129" s="9"/>
      <c r="E129" s="9"/>
      <c r="F129" s="9"/>
      <c r="G129" s="9"/>
      <c r="H129" s="9"/>
      <c r="I129" s="8"/>
      <c r="J129" s="8"/>
      <c r="K129" s="9"/>
      <c r="L129" s="10" t="str">
        <f aca="false">IF(OR(I129="",J129=""),"",MAX(0,J129-I129))</f>
        <v/>
      </c>
      <c r="M129" s="9"/>
    </row>
    <row r="130" customFormat="false" ht="15" hidden="false" customHeight="true" outlineLevel="0" collapsed="false">
      <c r="A130" s="8"/>
      <c r="B130" s="9"/>
      <c r="C130" s="9"/>
      <c r="D130" s="9"/>
      <c r="E130" s="9"/>
      <c r="F130" s="9"/>
      <c r="G130" s="9"/>
      <c r="H130" s="9"/>
      <c r="I130" s="8"/>
      <c r="J130" s="8"/>
      <c r="K130" s="9"/>
      <c r="L130" s="10" t="str">
        <f aca="false">IF(OR(I130="",J130=""),"",MAX(0,J130-I130))</f>
        <v/>
      </c>
      <c r="M130" s="9"/>
    </row>
    <row r="131" customFormat="false" ht="15" hidden="false" customHeight="true" outlineLevel="0" collapsed="false">
      <c r="A131" s="8"/>
      <c r="B131" s="9"/>
      <c r="C131" s="9"/>
      <c r="D131" s="9"/>
      <c r="E131" s="9"/>
      <c r="F131" s="9"/>
      <c r="G131" s="9"/>
      <c r="H131" s="9"/>
      <c r="I131" s="8"/>
      <c r="J131" s="8"/>
      <c r="K131" s="9"/>
      <c r="L131" s="10" t="str">
        <f aca="false">IF(OR(I131="",J131=""),"",MAX(0,J131-I131))</f>
        <v/>
      </c>
      <c r="M131" s="9"/>
    </row>
    <row r="132" customFormat="false" ht="15" hidden="false" customHeight="true" outlineLevel="0" collapsed="false">
      <c r="A132" s="8"/>
      <c r="B132" s="9"/>
      <c r="C132" s="9"/>
      <c r="D132" s="9"/>
      <c r="E132" s="9"/>
      <c r="F132" s="9"/>
      <c r="G132" s="9"/>
      <c r="H132" s="9"/>
      <c r="I132" s="8"/>
      <c r="J132" s="8"/>
      <c r="K132" s="9"/>
      <c r="L132" s="10" t="str">
        <f aca="false">IF(OR(I132="",J132=""),"",MAX(0,J132-I132))</f>
        <v/>
      </c>
      <c r="M132" s="9"/>
    </row>
    <row r="133" customFormat="false" ht="15" hidden="false" customHeight="true" outlineLevel="0" collapsed="false">
      <c r="A133" s="8"/>
      <c r="B133" s="9"/>
      <c r="C133" s="9"/>
      <c r="D133" s="9"/>
      <c r="E133" s="9"/>
      <c r="F133" s="9"/>
      <c r="G133" s="9"/>
      <c r="H133" s="9"/>
      <c r="I133" s="8"/>
      <c r="J133" s="8"/>
      <c r="K133" s="9"/>
      <c r="L133" s="10" t="str">
        <f aca="false">IF(OR(I133="",J133=""),"",MAX(0,J133-I133))</f>
        <v/>
      </c>
      <c r="M133" s="9"/>
    </row>
    <row r="134" customFormat="false" ht="15" hidden="false" customHeight="true" outlineLevel="0" collapsed="false">
      <c r="A134" s="8"/>
      <c r="B134" s="9"/>
      <c r="C134" s="9"/>
      <c r="D134" s="9"/>
      <c r="E134" s="9"/>
      <c r="F134" s="9"/>
      <c r="G134" s="9"/>
      <c r="H134" s="9"/>
      <c r="I134" s="8"/>
      <c r="J134" s="8"/>
      <c r="K134" s="9"/>
      <c r="L134" s="10" t="str">
        <f aca="false">IF(OR(I134="",J134=""),"",MAX(0,J134-I134))</f>
        <v/>
      </c>
      <c r="M134" s="9"/>
    </row>
    <row r="135" customFormat="false" ht="15" hidden="false" customHeight="true" outlineLevel="0" collapsed="false">
      <c r="A135" s="8"/>
      <c r="B135" s="9"/>
      <c r="C135" s="9"/>
      <c r="D135" s="9"/>
      <c r="E135" s="9"/>
      <c r="F135" s="9"/>
      <c r="G135" s="9"/>
      <c r="H135" s="9"/>
      <c r="I135" s="8"/>
      <c r="J135" s="8"/>
      <c r="K135" s="9"/>
      <c r="L135" s="10" t="str">
        <f aca="false">IF(OR(I135="",J135=""),"",MAX(0,J135-I135))</f>
        <v/>
      </c>
      <c r="M135" s="9"/>
    </row>
    <row r="136" customFormat="false" ht="15" hidden="false" customHeight="true" outlineLevel="0" collapsed="false">
      <c r="A136" s="8"/>
      <c r="B136" s="9"/>
      <c r="C136" s="9"/>
      <c r="D136" s="9"/>
      <c r="E136" s="9"/>
      <c r="F136" s="9"/>
      <c r="G136" s="9"/>
      <c r="H136" s="9"/>
      <c r="I136" s="8"/>
      <c r="J136" s="8"/>
      <c r="K136" s="9"/>
      <c r="L136" s="10" t="str">
        <f aca="false">IF(OR(I136="",J136=""),"",MAX(0,J136-I136))</f>
        <v/>
      </c>
      <c r="M136" s="9"/>
    </row>
    <row r="137" customFormat="false" ht="15" hidden="false" customHeight="true" outlineLevel="0" collapsed="false">
      <c r="A137" s="8"/>
      <c r="B137" s="9"/>
      <c r="C137" s="9"/>
      <c r="D137" s="9"/>
      <c r="E137" s="9"/>
      <c r="F137" s="9"/>
      <c r="G137" s="9"/>
      <c r="H137" s="9"/>
      <c r="I137" s="8"/>
      <c r="J137" s="8"/>
      <c r="K137" s="9"/>
      <c r="L137" s="10" t="str">
        <f aca="false">IF(OR(I137="",J137=""),"",MAX(0,J137-I137))</f>
        <v/>
      </c>
      <c r="M137" s="9"/>
    </row>
    <row r="138" customFormat="false" ht="15" hidden="false" customHeight="true" outlineLevel="0" collapsed="false">
      <c r="A138" s="8"/>
      <c r="B138" s="9"/>
      <c r="C138" s="9"/>
      <c r="D138" s="9"/>
      <c r="E138" s="9"/>
      <c r="F138" s="9"/>
      <c r="G138" s="9"/>
      <c r="H138" s="9"/>
      <c r="I138" s="8"/>
      <c r="J138" s="8"/>
      <c r="K138" s="9"/>
      <c r="L138" s="10" t="str">
        <f aca="false">IF(OR(I138="",J138=""),"",MAX(0,J138-I138))</f>
        <v/>
      </c>
      <c r="M138" s="9"/>
    </row>
    <row r="139" customFormat="false" ht="15" hidden="false" customHeight="true" outlineLevel="0" collapsed="false">
      <c r="A139" s="8"/>
      <c r="B139" s="9"/>
      <c r="C139" s="9"/>
      <c r="D139" s="9"/>
      <c r="E139" s="9"/>
      <c r="F139" s="9"/>
      <c r="G139" s="9"/>
      <c r="H139" s="9"/>
      <c r="I139" s="8"/>
      <c r="J139" s="8"/>
      <c r="K139" s="9"/>
      <c r="L139" s="10" t="str">
        <f aca="false">IF(OR(I139="",J139=""),"",MAX(0,J139-I139))</f>
        <v/>
      </c>
      <c r="M139" s="9"/>
    </row>
    <row r="140" customFormat="false" ht="15" hidden="false" customHeight="true" outlineLevel="0" collapsed="false">
      <c r="A140" s="8"/>
      <c r="B140" s="9"/>
      <c r="C140" s="9"/>
      <c r="D140" s="9"/>
      <c r="E140" s="9"/>
      <c r="F140" s="9"/>
      <c r="G140" s="9"/>
      <c r="H140" s="9"/>
      <c r="I140" s="8"/>
      <c r="J140" s="8"/>
      <c r="K140" s="9"/>
      <c r="L140" s="10" t="str">
        <f aca="false">IF(OR(I140="",J140=""),"",MAX(0,J140-I140))</f>
        <v/>
      </c>
      <c r="M140" s="9"/>
    </row>
    <row r="141" customFormat="false" ht="15" hidden="false" customHeight="true" outlineLevel="0" collapsed="false">
      <c r="A141" s="8"/>
      <c r="B141" s="9"/>
      <c r="C141" s="9"/>
      <c r="D141" s="9"/>
      <c r="E141" s="9"/>
      <c r="F141" s="9"/>
      <c r="G141" s="9"/>
      <c r="H141" s="9"/>
      <c r="I141" s="8"/>
      <c r="J141" s="8"/>
      <c r="K141" s="9"/>
      <c r="L141" s="10" t="str">
        <f aca="false">IF(OR(I141="",J141=""),"",MAX(0,J141-I141))</f>
        <v/>
      </c>
      <c r="M141" s="9"/>
    </row>
    <row r="142" customFormat="false" ht="15" hidden="false" customHeight="true" outlineLevel="0" collapsed="false">
      <c r="A142" s="8"/>
      <c r="B142" s="9"/>
      <c r="C142" s="9"/>
      <c r="D142" s="9"/>
      <c r="E142" s="9"/>
      <c r="F142" s="9"/>
      <c r="G142" s="9"/>
      <c r="H142" s="9"/>
      <c r="I142" s="8"/>
      <c r="J142" s="8"/>
      <c r="K142" s="9"/>
      <c r="L142" s="10" t="str">
        <f aca="false">IF(OR(I142="",J142=""),"",MAX(0,J142-I142))</f>
        <v/>
      </c>
      <c r="M142" s="9"/>
    </row>
    <row r="143" customFormat="false" ht="15" hidden="false" customHeight="true" outlineLevel="0" collapsed="false">
      <c r="A143" s="8"/>
      <c r="B143" s="9"/>
      <c r="C143" s="9"/>
      <c r="D143" s="9"/>
      <c r="E143" s="9"/>
      <c r="F143" s="9"/>
      <c r="G143" s="9"/>
      <c r="H143" s="9"/>
      <c r="I143" s="8"/>
      <c r="J143" s="8"/>
      <c r="K143" s="9"/>
      <c r="L143" s="10" t="str">
        <f aca="false">IF(OR(I143="",J143=""),"",MAX(0,J143-I143))</f>
        <v/>
      </c>
      <c r="M143" s="9"/>
    </row>
    <row r="144" customFormat="false" ht="15" hidden="false" customHeight="true" outlineLevel="0" collapsed="false">
      <c r="A144" s="8"/>
      <c r="B144" s="9"/>
      <c r="C144" s="9"/>
      <c r="D144" s="9"/>
      <c r="E144" s="9"/>
      <c r="F144" s="9"/>
      <c r="G144" s="9"/>
      <c r="H144" s="9"/>
      <c r="I144" s="8"/>
      <c r="J144" s="8"/>
      <c r="K144" s="9"/>
      <c r="L144" s="10" t="str">
        <f aca="false">IF(OR(I144="",J144=""),"",MAX(0,J144-I144))</f>
        <v/>
      </c>
      <c r="M144" s="9"/>
    </row>
    <row r="145" customFormat="false" ht="15" hidden="false" customHeight="true" outlineLevel="0" collapsed="false">
      <c r="A145" s="8"/>
      <c r="B145" s="9"/>
      <c r="C145" s="9"/>
      <c r="D145" s="9"/>
      <c r="E145" s="9"/>
      <c r="F145" s="9"/>
      <c r="G145" s="9"/>
      <c r="H145" s="9"/>
      <c r="I145" s="8"/>
      <c r="J145" s="8"/>
      <c r="K145" s="9"/>
      <c r="L145" s="10" t="str">
        <f aca="false">IF(OR(I145="",J145=""),"",MAX(0,J145-I145))</f>
        <v/>
      </c>
      <c r="M145" s="9"/>
    </row>
    <row r="146" customFormat="false" ht="15" hidden="false" customHeight="true" outlineLevel="0" collapsed="false">
      <c r="A146" s="8"/>
      <c r="B146" s="9"/>
      <c r="C146" s="9"/>
      <c r="D146" s="9"/>
      <c r="E146" s="9"/>
      <c r="F146" s="9"/>
      <c r="G146" s="9"/>
      <c r="H146" s="9"/>
      <c r="I146" s="8"/>
      <c r="J146" s="8"/>
      <c r="K146" s="9"/>
      <c r="L146" s="10" t="str">
        <f aca="false">IF(OR(I146="",J146=""),"",MAX(0,J146-I146))</f>
        <v/>
      </c>
      <c r="M146" s="9"/>
    </row>
    <row r="147" customFormat="false" ht="15" hidden="false" customHeight="true" outlineLevel="0" collapsed="false">
      <c r="A147" s="8"/>
      <c r="B147" s="9"/>
      <c r="C147" s="9"/>
      <c r="D147" s="9"/>
      <c r="E147" s="9"/>
      <c r="F147" s="9"/>
      <c r="G147" s="9"/>
      <c r="H147" s="9"/>
      <c r="I147" s="8"/>
      <c r="J147" s="8"/>
      <c r="K147" s="9"/>
      <c r="L147" s="10" t="str">
        <f aca="false">IF(OR(I147="",J147=""),"",MAX(0,J147-I147))</f>
        <v/>
      </c>
      <c r="M147" s="9"/>
    </row>
    <row r="148" customFormat="false" ht="15" hidden="false" customHeight="true" outlineLevel="0" collapsed="false">
      <c r="A148" s="8"/>
      <c r="B148" s="9"/>
      <c r="C148" s="9"/>
      <c r="D148" s="9"/>
      <c r="E148" s="9"/>
      <c r="F148" s="9"/>
      <c r="G148" s="9"/>
      <c r="H148" s="9"/>
      <c r="I148" s="8"/>
      <c r="J148" s="8"/>
      <c r="K148" s="9"/>
      <c r="L148" s="10" t="str">
        <f aca="false">IF(OR(I148="",J148=""),"",MAX(0,J148-I148))</f>
        <v/>
      </c>
      <c r="M148" s="9"/>
    </row>
    <row r="149" customFormat="false" ht="15" hidden="false" customHeight="true" outlineLevel="0" collapsed="false">
      <c r="A149" s="8"/>
      <c r="B149" s="9"/>
      <c r="C149" s="9"/>
      <c r="D149" s="9"/>
      <c r="E149" s="9"/>
      <c r="F149" s="9"/>
      <c r="G149" s="9"/>
      <c r="H149" s="9"/>
      <c r="I149" s="8"/>
      <c r="J149" s="8"/>
      <c r="K149" s="9"/>
      <c r="L149" s="10" t="str">
        <f aca="false">IF(OR(I149="",J149=""),"",MAX(0,J149-I149))</f>
        <v/>
      </c>
      <c r="M149" s="9"/>
    </row>
    <row r="150" customFormat="false" ht="15" hidden="false" customHeight="true" outlineLevel="0" collapsed="false">
      <c r="A150" s="8"/>
      <c r="B150" s="9"/>
      <c r="C150" s="9"/>
      <c r="D150" s="9"/>
      <c r="E150" s="9"/>
      <c r="F150" s="9"/>
      <c r="G150" s="9"/>
      <c r="H150" s="9"/>
      <c r="I150" s="8"/>
      <c r="J150" s="8"/>
      <c r="K150" s="9"/>
      <c r="L150" s="10" t="str">
        <f aca="false">IF(OR(I150="",J150=""),"",MAX(0,J150-I150))</f>
        <v/>
      </c>
      <c r="M150" s="9"/>
    </row>
    <row r="151" customFormat="false" ht="15" hidden="false" customHeight="true" outlineLevel="0" collapsed="false">
      <c r="A151" s="8"/>
      <c r="B151" s="9"/>
      <c r="C151" s="9"/>
      <c r="D151" s="9"/>
      <c r="E151" s="9"/>
      <c r="F151" s="9"/>
      <c r="G151" s="9"/>
      <c r="H151" s="9"/>
      <c r="I151" s="8"/>
      <c r="J151" s="8"/>
      <c r="K151" s="9"/>
      <c r="L151" s="10" t="str">
        <f aca="false">IF(OR(I151="",J151=""),"",MAX(0,J151-I151))</f>
        <v/>
      </c>
      <c r="M151" s="9"/>
    </row>
    <row r="152" customFormat="false" ht="15" hidden="false" customHeight="true" outlineLevel="0" collapsed="false">
      <c r="A152" s="8"/>
      <c r="B152" s="9"/>
      <c r="C152" s="9"/>
      <c r="D152" s="9"/>
      <c r="E152" s="9"/>
      <c r="F152" s="9"/>
      <c r="G152" s="9"/>
      <c r="H152" s="9"/>
      <c r="I152" s="8"/>
      <c r="J152" s="8"/>
      <c r="K152" s="9"/>
      <c r="L152" s="10" t="str">
        <f aca="false">IF(OR(I152="",J152=""),"",MAX(0,J152-I152))</f>
        <v/>
      </c>
      <c r="M152" s="9"/>
    </row>
    <row r="153" customFormat="false" ht="15" hidden="false" customHeight="true" outlineLevel="0" collapsed="false">
      <c r="A153" s="8"/>
      <c r="B153" s="9"/>
      <c r="C153" s="9"/>
      <c r="D153" s="9"/>
      <c r="E153" s="9"/>
      <c r="F153" s="9"/>
      <c r="G153" s="9"/>
      <c r="H153" s="9"/>
      <c r="I153" s="8"/>
      <c r="J153" s="8"/>
      <c r="K153" s="9"/>
      <c r="L153" s="10" t="str">
        <f aca="false">IF(OR(I153="",J153=""),"",MAX(0,J153-I153))</f>
        <v/>
      </c>
      <c r="M153" s="9"/>
    </row>
    <row r="154" customFormat="false" ht="15" hidden="false" customHeight="true" outlineLevel="0" collapsed="false">
      <c r="A154" s="8"/>
      <c r="B154" s="9"/>
      <c r="C154" s="9"/>
      <c r="D154" s="9"/>
      <c r="E154" s="9"/>
      <c r="F154" s="9"/>
      <c r="G154" s="9"/>
      <c r="H154" s="9"/>
      <c r="I154" s="8"/>
      <c r="J154" s="8"/>
      <c r="K154" s="9"/>
      <c r="L154" s="10" t="str">
        <f aca="false">IF(OR(I154="",J154=""),"",MAX(0,J154-I154))</f>
        <v/>
      </c>
      <c r="M154" s="9"/>
    </row>
    <row r="155" customFormat="false" ht="15" hidden="false" customHeight="true" outlineLevel="0" collapsed="false">
      <c r="A155" s="8"/>
      <c r="B155" s="9"/>
      <c r="C155" s="9"/>
      <c r="D155" s="9"/>
      <c r="E155" s="9"/>
      <c r="F155" s="9"/>
      <c r="G155" s="9"/>
      <c r="H155" s="9"/>
      <c r="I155" s="8"/>
      <c r="J155" s="8"/>
      <c r="K155" s="9"/>
      <c r="L155" s="10" t="str">
        <f aca="false">IF(OR(I155="",J155=""),"",MAX(0,J155-I155))</f>
        <v/>
      </c>
      <c r="M155" s="9"/>
    </row>
    <row r="156" customFormat="false" ht="15" hidden="false" customHeight="true" outlineLevel="0" collapsed="false">
      <c r="A156" s="8"/>
      <c r="B156" s="9"/>
      <c r="C156" s="9"/>
      <c r="D156" s="9"/>
      <c r="E156" s="9"/>
      <c r="F156" s="9"/>
      <c r="G156" s="9"/>
      <c r="H156" s="9"/>
      <c r="I156" s="8"/>
      <c r="J156" s="8"/>
      <c r="K156" s="9"/>
      <c r="L156" s="10" t="str">
        <f aca="false">IF(OR(I156="",J156=""),"",MAX(0,J156-I156))</f>
        <v/>
      </c>
      <c r="M156" s="9"/>
    </row>
    <row r="157" customFormat="false" ht="15" hidden="false" customHeight="true" outlineLevel="0" collapsed="false">
      <c r="A157" s="8"/>
      <c r="B157" s="9"/>
      <c r="C157" s="9"/>
      <c r="D157" s="9"/>
      <c r="E157" s="9"/>
      <c r="F157" s="9"/>
      <c r="G157" s="9"/>
      <c r="H157" s="9"/>
      <c r="I157" s="8"/>
      <c r="J157" s="8"/>
      <c r="K157" s="9"/>
      <c r="L157" s="10" t="str">
        <f aca="false">IF(OR(I157="",J157=""),"",MAX(0,J157-I157))</f>
        <v/>
      </c>
      <c r="M157" s="9"/>
    </row>
    <row r="158" customFormat="false" ht="15" hidden="false" customHeight="true" outlineLevel="0" collapsed="false">
      <c r="A158" s="8"/>
      <c r="B158" s="9"/>
      <c r="C158" s="9"/>
      <c r="D158" s="9"/>
      <c r="E158" s="9"/>
      <c r="F158" s="9"/>
      <c r="G158" s="9"/>
      <c r="H158" s="9"/>
      <c r="I158" s="8"/>
      <c r="J158" s="8"/>
      <c r="K158" s="9"/>
      <c r="L158" s="10" t="str">
        <f aca="false">IF(OR(I158="",J158=""),"",MAX(0,J158-I158))</f>
        <v/>
      </c>
      <c r="M158" s="9"/>
    </row>
    <row r="159" customFormat="false" ht="15" hidden="false" customHeight="true" outlineLevel="0" collapsed="false">
      <c r="A159" s="8"/>
      <c r="B159" s="9"/>
      <c r="C159" s="9"/>
      <c r="D159" s="9"/>
      <c r="E159" s="9"/>
      <c r="F159" s="9"/>
      <c r="G159" s="9"/>
      <c r="H159" s="9"/>
      <c r="I159" s="8"/>
      <c r="J159" s="8"/>
      <c r="K159" s="9"/>
      <c r="L159" s="10" t="str">
        <f aca="false">IF(OR(I159="",J159=""),"",MAX(0,J159-I159))</f>
        <v/>
      </c>
      <c r="M159" s="9"/>
    </row>
    <row r="160" customFormat="false" ht="15" hidden="false" customHeight="true" outlineLevel="0" collapsed="false">
      <c r="A160" s="8"/>
      <c r="B160" s="9"/>
      <c r="C160" s="9"/>
      <c r="D160" s="9"/>
      <c r="E160" s="9"/>
      <c r="F160" s="9"/>
      <c r="G160" s="9"/>
      <c r="H160" s="9"/>
      <c r="I160" s="8"/>
      <c r="J160" s="8"/>
      <c r="K160" s="9"/>
      <c r="L160" s="10" t="str">
        <f aca="false">IF(OR(I160="",J160=""),"",MAX(0,J160-I160))</f>
        <v/>
      </c>
      <c r="M160" s="9"/>
    </row>
    <row r="161" customFormat="false" ht="15" hidden="false" customHeight="true" outlineLevel="0" collapsed="false">
      <c r="A161" s="8"/>
      <c r="B161" s="9"/>
      <c r="C161" s="9"/>
      <c r="D161" s="9"/>
      <c r="E161" s="9"/>
      <c r="F161" s="9"/>
      <c r="G161" s="9"/>
      <c r="H161" s="9"/>
      <c r="I161" s="8"/>
      <c r="J161" s="8"/>
      <c r="K161" s="9"/>
      <c r="L161" s="10" t="str">
        <f aca="false">IF(OR(I161="",J161=""),"",MAX(0,J161-I161))</f>
        <v/>
      </c>
      <c r="M161" s="9"/>
    </row>
    <row r="162" customFormat="false" ht="15" hidden="false" customHeight="true" outlineLevel="0" collapsed="false">
      <c r="A162" s="8"/>
      <c r="B162" s="9"/>
      <c r="C162" s="9"/>
      <c r="D162" s="9"/>
      <c r="E162" s="9"/>
      <c r="F162" s="9"/>
      <c r="G162" s="9"/>
      <c r="H162" s="9"/>
      <c r="I162" s="8"/>
      <c r="J162" s="8"/>
      <c r="K162" s="9"/>
      <c r="L162" s="10" t="str">
        <f aca="false">IF(OR(I162="",J162=""),"",MAX(0,J162-I162))</f>
        <v/>
      </c>
      <c r="M162" s="9"/>
    </row>
    <row r="163" customFormat="false" ht="15" hidden="false" customHeight="true" outlineLevel="0" collapsed="false">
      <c r="A163" s="8"/>
      <c r="B163" s="9"/>
      <c r="C163" s="9"/>
      <c r="D163" s="9"/>
      <c r="E163" s="9"/>
      <c r="F163" s="9"/>
      <c r="G163" s="9"/>
      <c r="H163" s="9"/>
      <c r="I163" s="8"/>
      <c r="J163" s="8"/>
      <c r="K163" s="9"/>
      <c r="L163" s="10" t="str">
        <f aca="false">IF(OR(I163="",J163=""),"",MAX(0,J163-I163))</f>
        <v/>
      </c>
      <c r="M163" s="9"/>
    </row>
    <row r="164" customFormat="false" ht="15" hidden="false" customHeight="true" outlineLevel="0" collapsed="false">
      <c r="A164" s="8"/>
      <c r="B164" s="9"/>
      <c r="C164" s="9"/>
      <c r="D164" s="9"/>
      <c r="E164" s="9"/>
      <c r="F164" s="9"/>
      <c r="G164" s="9"/>
      <c r="H164" s="9"/>
      <c r="I164" s="8"/>
      <c r="J164" s="8"/>
      <c r="K164" s="9"/>
      <c r="L164" s="10" t="str">
        <f aca="false">IF(OR(I164="",J164=""),"",MAX(0,J164-I164))</f>
        <v/>
      </c>
      <c r="M164" s="9"/>
    </row>
    <row r="165" customFormat="false" ht="15" hidden="false" customHeight="true" outlineLevel="0" collapsed="false">
      <c r="A165" s="8"/>
      <c r="B165" s="9"/>
      <c r="C165" s="9"/>
      <c r="D165" s="9"/>
      <c r="E165" s="9"/>
      <c r="F165" s="9"/>
      <c r="G165" s="9"/>
      <c r="H165" s="9"/>
      <c r="I165" s="8"/>
      <c r="J165" s="8"/>
      <c r="K165" s="9"/>
      <c r="L165" s="10" t="str">
        <f aca="false">IF(OR(I165="",J165=""),"",MAX(0,J165-I165))</f>
        <v/>
      </c>
      <c r="M165" s="9"/>
    </row>
    <row r="166" customFormat="false" ht="15" hidden="false" customHeight="true" outlineLevel="0" collapsed="false">
      <c r="A166" s="8"/>
      <c r="B166" s="9"/>
      <c r="C166" s="9"/>
      <c r="D166" s="9"/>
      <c r="E166" s="9"/>
      <c r="F166" s="9"/>
      <c r="G166" s="9"/>
      <c r="H166" s="9"/>
      <c r="I166" s="8"/>
      <c r="J166" s="8"/>
      <c r="K166" s="9"/>
      <c r="L166" s="10" t="str">
        <f aca="false">IF(OR(I166="",J166=""),"",MAX(0,J166-I166))</f>
        <v/>
      </c>
      <c r="M166" s="9"/>
    </row>
    <row r="167" customFormat="false" ht="15" hidden="false" customHeight="true" outlineLevel="0" collapsed="false">
      <c r="A167" s="8"/>
      <c r="B167" s="9"/>
      <c r="C167" s="9"/>
      <c r="D167" s="9"/>
      <c r="E167" s="9"/>
      <c r="F167" s="9"/>
      <c r="G167" s="9"/>
      <c r="H167" s="9"/>
      <c r="I167" s="8"/>
      <c r="J167" s="8"/>
      <c r="K167" s="9"/>
      <c r="L167" s="10" t="str">
        <f aca="false">IF(OR(I167="",J167=""),"",MAX(0,J167-I167))</f>
        <v/>
      </c>
      <c r="M167" s="9"/>
    </row>
    <row r="168" customFormat="false" ht="15" hidden="false" customHeight="true" outlineLevel="0" collapsed="false">
      <c r="A168" s="8"/>
      <c r="B168" s="9"/>
      <c r="C168" s="9"/>
      <c r="D168" s="9"/>
      <c r="E168" s="9"/>
      <c r="F168" s="9"/>
      <c r="G168" s="9"/>
      <c r="H168" s="9"/>
      <c r="I168" s="8"/>
      <c r="J168" s="8"/>
      <c r="K168" s="9"/>
      <c r="L168" s="10" t="str">
        <f aca="false">IF(OR(I168="",J168=""),"",MAX(0,J168-I168))</f>
        <v/>
      </c>
      <c r="M168" s="9"/>
    </row>
    <row r="169" customFormat="false" ht="15" hidden="false" customHeight="true" outlineLevel="0" collapsed="false">
      <c r="A169" s="8"/>
      <c r="B169" s="9"/>
      <c r="C169" s="9"/>
      <c r="D169" s="9"/>
      <c r="E169" s="9"/>
      <c r="F169" s="9"/>
      <c r="G169" s="9"/>
      <c r="H169" s="9"/>
      <c r="I169" s="8"/>
      <c r="J169" s="8"/>
      <c r="K169" s="9"/>
      <c r="L169" s="10" t="str">
        <f aca="false">IF(OR(I169="",J169=""),"",MAX(0,J169-I169))</f>
        <v/>
      </c>
      <c r="M169" s="9"/>
    </row>
    <row r="170" customFormat="false" ht="15" hidden="false" customHeight="true" outlineLevel="0" collapsed="false">
      <c r="A170" s="8"/>
      <c r="B170" s="9"/>
      <c r="C170" s="9"/>
      <c r="D170" s="9"/>
      <c r="E170" s="9"/>
      <c r="F170" s="9"/>
      <c r="G170" s="9"/>
      <c r="H170" s="9"/>
      <c r="I170" s="8"/>
      <c r="J170" s="8"/>
      <c r="K170" s="9"/>
      <c r="L170" s="10" t="str">
        <f aca="false">IF(OR(I170="",J170=""),"",MAX(0,J170-I170))</f>
        <v/>
      </c>
      <c r="M170" s="9"/>
    </row>
    <row r="171" customFormat="false" ht="15" hidden="false" customHeight="true" outlineLevel="0" collapsed="false">
      <c r="A171" s="8"/>
      <c r="B171" s="9"/>
      <c r="C171" s="9"/>
      <c r="D171" s="9"/>
      <c r="E171" s="9"/>
      <c r="F171" s="9"/>
      <c r="G171" s="9"/>
      <c r="H171" s="9"/>
      <c r="I171" s="8"/>
      <c r="J171" s="8"/>
      <c r="K171" s="9"/>
      <c r="L171" s="10" t="str">
        <f aca="false">IF(OR(I171="",J171=""),"",MAX(0,J171-I171))</f>
        <v/>
      </c>
      <c r="M171" s="9"/>
    </row>
    <row r="172" customFormat="false" ht="15" hidden="false" customHeight="true" outlineLevel="0" collapsed="false">
      <c r="A172" s="8"/>
      <c r="B172" s="9"/>
      <c r="C172" s="9"/>
      <c r="D172" s="9"/>
      <c r="E172" s="9"/>
      <c r="F172" s="9"/>
      <c r="G172" s="9"/>
      <c r="H172" s="9"/>
      <c r="I172" s="8"/>
      <c r="J172" s="8"/>
      <c r="K172" s="9"/>
      <c r="L172" s="10" t="str">
        <f aca="false">IF(OR(I172="",J172=""),"",MAX(0,J172-I172))</f>
        <v/>
      </c>
      <c r="M172" s="9"/>
    </row>
    <row r="173" customFormat="false" ht="15" hidden="false" customHeight="true" outlineLevel="0" collapsed="false">
      <c r="A173" s="8"/>
      <c r="B173" s="9"/>
      <c r="C173" s="9"/>
      <c r="D173" s="9"/>
      <c r="E173" s="9"/>
      <c r="F173" s="9"/>
      <c r="G173" s="9"/>
      <c r="H173" s="9"/>
      <c r="I173" s="8"/>
      <c r="J173" s="8"/>
      <c r="K173" s="9"/>
      <c r="L173" s="10" t="str">
        <f aca="false">IF(OR(I173="",J173=""),"",MAX(0,J173-I173))</f>
        <v/>
      </c>
      <c r="M173" s="9"/>
    </row>
    <row r="174" customFormat="false" ht="15" hidden="false" customHeight="true" outlineLevel="0" collapsed="false">
      <c r="A174" s="8"/>
      <c r="B174" s="9"/>
      <c r="C174" s="9"/>
      <c r="D174" s="9"/>
      <c r="E174" s="9"/>
      <c r="F174" s="9"/>
      <c r="G174" s="9"/>
      <c r="H174" s="9"/>
      <c r="I174" s="8"/>
      <c r="J174" s="8"/>
      <c r="K174" s="9"/>
      <c r="L174" s="10" t="str">
        <f aca="false">IF(OR(I174="",J174=""),"",MAX(0,J174-I174))</f>
        <v/>
      </c>
      <c r="M174" s="9"/>
    </row>
    <row r="175" customFormat="false" ht="15" hidden="false" customHeight="true" outlineLevel="0" collapsed="false">
      <c r="A175" s="8"/>
      <c r="B175" s="9"/>
      <c r="C175" s="9"/>
      <c r="D175" s="9"/>
      <c r="E175" s="9"/>
      <c r="F175" s="9"/>
      <c r="G175" s="9"/>
      <c r="H175" s="9"/>
      <c r="I175" s="8"/>
      <c r="J175" s="8"/>
      <c r="K175" s="9"/>
      <c r="L175" s="10" t="str">
        <f aca="false">IF(OR(I175="",J175=""),"",MAX(0,J175-I175))</f>
        <v/>
      </c>
      <c r="M175" s="9"/>
    </row>
    <row r="176" customFormat="false" ht="15" hidden="false" customHeight="true" outlineLevel="0" collapsed="false">
      <c r="A176" s="8"/>
      <c r="B176" s="9"/>
      <c r="C176" s="9"/>
      <c r="D176" s="9"/>
      <c r="E176" s="9"/>
      <c r="F176" s="9"/>
      <c r="G176" s="9"/>
      <c r="H176" s="9"/>
      <c r="I176" s="8"/>
      <c r="J176" s="8"/>
      <c r="K176" s="9"/>
      <c r="L176" s="10" t="str">
        <f aca="false">IF(OR(I176="",J176=""),"",MAX(0,J176-I176))</f>
        <v/>
      </c>
      <c r="M176" s="9"/>
    </row>
    <row r="177" customFormat="false" ht="15" hidden="false" customHeight="true" outlineLevel="0" collapsed="false">
      <c r="A177" s="8"/>
      <c r="B177" s="9"/>
      <c r="C177" s="9"/>
      <c r="D177" s="9"/>
      <c r="E177" s="9"/>
      <c r="F177" s="9"/>
      <c r="G177" s="9"/>
      <c r="H177" s="9"/>
      <c r="I177" s="8"/>
      <c r="J177" s="8"/>
      <c r="K177" s="9"/>
      <c r="L177" s="10" t="str">
        <f aca="false">IF(OR(I177="",J177=""),"",MAX(0,J177-I177))</f>
        <v/>
      </c>
      <c r="M177" s="9"/>
    </row>
    <row r="178" customFormat="false" ht="15" hidden="false" customHeight="true" outlineLevel="0" collapsed="false">
      <c r="A178" s="8"/>
      <c r="B178" s="9"/>
      <c r="C178" s="9"/>
      <c r="D178" s="9"/>
      <c r="E178" s="9"/>
      <c r="F178" s="9"/>
      <c r="G178" s="9"/>
      <c r="H178" s="9"/>
      <c r="I178" s="8"/>
      <c r="J178" s="8"/>
      <c r="K178" s="9"/>
      <c r="L178" s="10" t="str">
        <f aca="false">IF(OR(I178="",J178=""),"",MAX(0,J178-I178))</f>
        <v/>
      </c>
      <c r="M178" s="9"/>
    </row>
    <row r="179" customFormat="false" ht="15" hidden="false" customHeight="true" outlineLevel="0" collapsed="false">
      <c r="A179" s="8"/>
      <c r="B179" s="9"/>
      <c r="C179" s="9"/>
      <c r="D179" s="9"/>
      <c r="E179" s="9"/>
      <c r="F179" s="9"/>
      <c r="G179" s="9"/>
      <c r="H179" s="9"/>
      <c r="I179" s="8"/>
      <c r="J179" s="8"/>
      <c r="K179" s="9"/>
      <c r="L179" s="10" t="str">
        <f aca="false">IF(OR(I179="",J179=""),"",MAX(0,J179-I179))</f>
        <v/>
      </c>
      <c r="M179" s="9"/>
    </row>
    <row r="180" customFormat="false" ht="15" hidden="false" customHeight="true" outlineLevel="0" collapsed="false">
      <c r="A180" s="8"/>
      <c r="B180" s="9"/>
      <c r="C180" s="9"/>
      <c r="D180" s="9"/>
      <c r="E180" s="9"/>
      <c r="F180" s="9"/>
      <c r="G180" s="9"/>
      <c r="H180" s="9"/>
      <c r="I180" s="8"/>
      <c r="J180" s="8"/>
      <c r="K180" s="9"/>
      <c r="L180" s="10" t="str">
        <f aca="false">IF(OR(I180="",J180=""),"",MAX(0,J180-I180))</f>
        <v/>
      </c>
      <c r="M180" s="9"/>
    </row>
    <row r="181" customFormat="false" ht="15" hidden="false" customHeight="true" outlineLevel="0" collapsed="false">
      <c r="A181" s="8"/>
      <c r="B181" s="9"/>
      <c r="C181" s="9"/>
      <c r="D181" s="9"/>
      <c r="E181" s="9"/>
      <c r="F181" s="9"/>
      <c r="G181" s="9"/>
      <c r="H181" s="9"/>
      <c r="I181" s="8"/>
      <c r="J181" s="8"/>
      <c r="K181" s="9"/>
      <c r="L181" s="10" t="str">
        <f aca="false">IF(OR(I181="",J181=""),"",MAX(0,J181-I181))</f>
        <v/>
      </c>
      <c r="M181" s="9"/>
    </row>
    <row r="182" customFormat="false" ht="15" hidden="false" customHeight="true" outlineLevel="0" collapsed="false">
      <c r="A182" s="8"/>
      <c r="B182" s="9"/>
      <c r="C182" s="9"/>
      <c r="D182" s="9"/>
      <c r="E182" s="9"/>
      <c r="F182" s="9"/>
      <c r="G182" s="9"/>
      <c r="H182" s="9"/>
      <c r="I182" s="8"/>
      <c r="J182" s="8"/>
      <c r="K182" s="9"/>
      <c r="L182" s="10" t="str">
        <f aca="false">IF(OR(I182="",J182=""),"",MAX(0,J182-I182))</f>
        <v/>
      </c>
      <c r="M182" s="9"/>
    </row>
    <row r="183" customFormat="false" ht="15" hidden="false" customHeight="true" outlineLevel="0" collapsed="false">
      <c r="A183" s="8"/>
      <c r="B183" s="9"/>
      <c r="C183" s="9"/>
      <c r="D183" s="9"/>
      <c r="E183" s="9"/>
      <c r="F183" s="9"/>
      <c r="G183" s="9"/>
      <c r="H183" s="9"/>
      <c r="I183" s="8"/>
      <c r="J183" s="8"/>
      <c r="K183" s="9"/>
      <c r="L183" s="10" t="str">
        <f aca="false">IF(OR(I183="",J183=""),"",MAX(0,J183-I183))</f>
        <v/>
      </c>
      <c r="M183" s="9"/>
    </row>
    <row r="184" customFormat="false" ht="15" hidden="false" customHeight="true" outlineLevel="0" collapsed="false">
      <c r="A184" s="8"/>
      <c r="B184" s="9"/>
      <c r="C184" s="9"/>
      <c r="D184" s="9"/>
      <c r="E184" s="9"/>
      <c r="F184" s="9"/>
      <c r="G184" s="9"/>
      <c r="H184" s="9"/>
      <c r="I184" s="8"/>
      <c r="J184" s="8"/>
      <c r="K184" s="9"/>
      <c r="L184" s="10" t="str">
        <f aca="false">IF(OR(I184="",J184=""),"",MAX(0,J184-I184))</f>
        <v/>
      </c>
      <c r="M184" s="9"/>
    </row>
    <row r="185" customFormat="false" ht="15" hidden="false" customHeight="true" outlineLevel="0" collapsed="false">
      <c r="A185" s="8"/>
      <c r="B185" s="9"/>
      <c r="C185" s="9"/>
      <c r="D185" s="9"/>
      <c r="E185" s="9"/>
      <c r="F185" s="9"/>
      <c r="G185" s="9"/>
      <c r="H185" s="9"/>
      <c r="I185" s="8"/>
      <c r="J185" s="8"/>
      <c r="K185" s="9"/>
      <c r="L185" s="10" t="str">
        <f aca="false">IF(OR(I185="",J185=""),"",MAX(0,J185-I185))</f>
        <v/>
      </c>
      <c r="M185" s="9"/>
    </row>
    <row r="186" customFormat="false" ht="15" hidden="false" customHeight="true" outlineLevel="0" collapsed="false">
      <c r="A186" s="8"/>
      <c r="B186" s="9"/>
      <c r="C186" s="9"/>
      <c r="D186" s="9"/>
      <c r="E186" s="9"/>
      <c r="F186" s="9"/>
      <c r="G186" s="9"/>
      <c r="H186" s="9"/>
      <c r="I186" s="8"/>
      <c r="J186" s="8"/>
      <c r="K186" s="9"/>
      <c r="L186" s="10" t="str">
        <f aca="false">IF(OR(I186="",J186=""),"",MAX(0,J186-I186))</f>
        <v/>
      </c>
      <c r="M186" s="9"/>
    </row>
    <row r="187" customFormat="false" ht="15" hidden="false" customHeight="true" outlineLevel="0" collapsed="false">
      <c r="A187" s="8"/>
      <c r="B187" s="9"/>
      <c r="C187" s="9"/>
      <c r="D187" s="9"/>
      <c r="E187" s="9"/>
      <c r="F187" s="9"/>
      <c r="G187" s="9"/>
      <c r="H187" s="9"/>
      <c r="I187" s="8"/>
      <c r="J187" s="8"/>
      <c r="K187" s="9"/>
      <c r="L187" s="10" t="str">
        <f aca="false">IF(OR(I187="",J187=""),"",MAX(0,J187-I187))</f>
        <v/>
      </c>
      <c r="M187" s="9"/>
    </row>
    <row r="188" customFormat="false" ht="15" hidden="false" customHeight="true" outlineLevel="0" collapsed="false">
      <c r="A188" s="8"/>
      <c r="B188" s="9"/>
      <c r="C188" s="9"/>
      <c r="D188" s="9"/>
      <c r="E188" s="9"/>
      <c r="F188" s="9"/>
      <c r="G188" s="9"/>
      <c r="H188" s="9"/>
      <c r="I188" s="8"/>
      <c r="J188" s="8"/>
      <c r="K188" s="9"/>
      <c r="L188" s="10" t="str">
        <f aca="false">IF(OR(I188="",J188=""),"",MAX(0,J188-I188))</f>
        <v/>
      </c>
      <c r="M188" s="9"/>
    </row>
    <row r="189" customFormat="false" ht="15" hidden="false" customHeight="true" outlineLevel="0" collapsed="false">
      <c r="A189" s="8"/>
      <c r="B189" s="9"/>
      <c r="C189" s="9"/>
      <c r="D189" s="9"/>
      <c r="E189" s="9"/>
      <c r="F189" s="9"/>
      <c r="G189" s="9"/>
      <c r="H189" s="9"/>
      <c r="I189" s="8"/>
      <c r="J189" s="8"/>
      <c r="K189" s="9"/>
      <c r="L189" s="10" t="str">
        <f aca="false">IF(OR(I189="",J189=""),"",MAX(0,J189-I189))</f>
        <v/>
      </c>
      <c r="M189" s="9"/>
    </row>
    <row r="190" customFormat="false" ht="15" hidden="false" customHeight="true" outlineLevel="0" collapsed="false">
      <c r="A190" s="8"/>
      <c r="B190" s="9"/>
      <c r="C190" s="9"/>
      <c r="D190" s="9"/>
      <c r="E190" s="9"/>
      <c r="F190" s="9"/>
      <c r="G190" s="9"/>
      <c r="H190" s="9"/>
      <c r="I190" s="8"/>
      <c r="J190" s="8"/>
      <c r="K190" s="9"/>
      <c r="L190" s="10" t="str">
        <f aca="false">IF(OR(I190="",J190=""),"",MAX(0,J190-I190))</f>
        <v/>
      </c>
      <c r="M190" s="9"/>
    </row>
    <row r="191" customFormat="false" ht="15" hidden="false" customHeight="true" outlineLevel="0" collapsed="false">
      <c r="A191" s="8"/>
      <c r="B191" s="9"/>
      <c r="C191" s="9"/>
      <c r="D191" s="9"/>
      <c r="E191" s="9"/>
      <c r="F191" s="9"/>
      <c r="G191" s="9"/>
      <c r="H191" s="9"/>
      <c r="I191" s="8"/>
      <c r="J191" s="8"/>
      <c r="K191" s="9"/>
      <c r="L191" s="10" t="str">
        <f aca="false">IF(OR(I191="",J191=""),"",MAX(0,J191-I191))</f>
        <v/>
      </c>
      <c r="M191" s="9"/>
    </row>
    <row r="192" customFormat="false" ht="15" hidden="false" customHeight="true" outlineLevel="0" collapsed="false">
      <c r="A192" s="8"/>
      <c r="B192" s="9"/>
      <c r="C192" s="9"/>
      <c r="D192" s="9"/>
      <c r="E192" s="9"/>
      <c r="F192" s="9"/>
      <c r="G192" s="9"/>
      <c r="H192" s="9"/>
      <c r="I192" s="8"/>
      <c r="J192" s="8"/>
      <c r="K192" s="9"/>
      <c r="L192" s="10" t="str">
        <f aca="false">IF(OR(I192="",J192=""),"",MAX(0,J192-I192))</f>
        <v/>
      </c>
      <c r="M192" s="9"/>
    </row>
    <row r="193" customFormat="false" ht="15" hidden="false" customHeight="true" outlineLevel="0" collapsed="false">
      <c r="A193" s="8"/>
      <c r="B193" s="9"/>
      <c r="C193" s="9"/>
      <c r="D193" s="9"/>
      <c r="E193" s="9"/>
      <c r="F193" s="9"/>
      <c r="G193" s="9"/>
      <c r="H193" s="9"/>
      <c r="I193" s="8"/>
      <c r="J193" s="8"/>
      <c r="K193" s="9"/>
      <c r="L193" s="10" t="str">
        <f aca="false">IF(OR(I193="",J193=""),"",MAX(0,J193-I193))</f>
        <v/>
      </c>
      <c r="M193" s="9"/>
    </row>
    <row r="194" customFormat="false" ht="15" hidden="false" customHeight="true" outlineLevel="0" collapsed="false">
      <c r="A194" s="8"/>
      <c r="B194" s="9"/>
      <c r="C194" s="9"/>
      <c r="D194" s="9"/>
      <c r="E194" s="9"/>
      <c r="F194" s="9"/>
      <c r="G194" s="9"/>
      <c r="H194" s="9"/>
      <c r="I194" s="8"/>
      <c r="J194" s="8"/>
      <c r="K194" s="9"/>
      <c r="L194" s="10" t="str">
        <f aca="false">IF(OR(I194="",J194=""),"",MAX(0,J194-I194))</f>
        <v/>
      </c>
      <c r="M194" s="9"/>
    </row>
    <row r="195" customFormat="false" ht="15" hidden="false" customHeight="true" outlineLevel="0" collapsed="false">
      <c r="A195" s="8"/>
      <c r="B195" s="9"/>
      <c r="C195" s="9"/>
      <c r="D195" s="9"/>
      <c r="E195" s="9"/>
      <c r="F195" s="9"/>
      <c r="G195" s="9"/>
      <c r="H195" s="9"/>
      <c r="I195" s="8"/>
      <c r="J195" s="8"/>
      <c r="K195" s="9"/>
      <c r="L195" s="10" t="str">
        <f aca="false">IF(OR(I195="",J195=""),"",MAX(0,J195-I195))</f>
        <v/>
      </c>
      <c r="M195" s="9"/>
    </row>
    <row r="196" customFormat="false" ht="15" hidden="false" customHeight="true" outlineLevel="0" collapsed="false">
      <c r="A196" s="8"/>
      <c r="B196" s="9"/>
      <c r="C196" s="9"/>
      <c r="D196" s="9"/>
      <c r="E196" s="9"/>
      <c r="F196" s="9"/>
      <c r="G196" s="9"/>
      <c r="H196" s="9"/>
      <c r="I196" s="8"/>
      <c r="J196" s="8"/>
      <c r="K196" s="9"/>
      <c r="L196" s="10" t="str">
        <f aca="false">IF(OR(I196="",J196=""),"",MAX(0,J196-I196))</f>
        <v/>
      </c>
      <c r="M196" s="9"/>
    </row>
    <row r="197" customFormat="false" ht="15" hidden="false" customHeight="true" outlineLevel="0" collapsed="false">
      <c r="A197" s="8"/>
      <c r="B197" s="9"/>
      <c r="C197" s="9"/>
      <c r="D197" s="9"/>
      <c r="E197" s="9"/>
      <c r="F197" s="9"/>
      <c r="G197" s="9"/>
      <c r="H197" s="9"/>
      <c r="I197" s="8"/>
      <c r="J197" s="8"/>
      <c r="K197" s="9"/>
      <c r="L197" s="10" t="str">
        <f aca="false">IF(OR(I197="",J197=""),"",MAX(0,J197-I197))</f>
        <v/>
      </c>
      <c r="M197" s="9"/>
    </row>
    <row r="198" customFormat="false" ht="15" hidden="false" customHeight="true" outlineLevel="0" collapsed="false">
      <c r="A198" s="8"/>
      <c r="B198" s="9"/>
      <c r="C198" s="9"/>
      <c r="D198" s="9"/>
      <c r="E198" s="9"/>
      <c r="F198" s="9"/>
      <c r="G198" s="9"/>
      <c r="H198" s="9"/>
      <c r="I198" s="8"/>
      <c r="J198" s="8"/>
      <c r="K198" s="9"/>
      <c r="L198" s="10" t="str">
        <f aca="false">IF(OR(I198="",J198=""),"",MAX(0,J198-I198))</f>
        <v/>
      </c>
      <c r="M198" s="9"/>
    </row>
    <row r="199" customFormat="false" ht="15" hidden="false" customHeight="true" outlineLevel="0" collapsed="false">
      <c r="A199" s="8"/>
      <c r="B199" s="9"/>
      <c r="C199" s="9"/>
      <c r="D199" s="9"/>
      <c r="E199" s="9"/>
      <c r="F199" s="9"/>
      <c r="G199" s="9"/>
      <c r="H199" s="9"/>
      <c r="I199" s="8"/>
      <c r="J199" s="8"/>
      <c r="K199" s="9"/>
      <c r="L199" s="10" t="str">
        <f aca="false">IF(OR(I199="",J199=""),"",MAX(0,J199-I199))</f>
        <v/>
      </c>
      <c r="M199" s="9"/>
    </row>
    <row r="200" customFormat="false" ht="15" hidden="false" customHeight="true" outlineLevel="0" collapsed="false">
      <c r="A200" s="8"/>
      <c r="B200" s="9"/>
      <c r="C200" s="9"/>
      <c r="D200" s="9"/>
      <c r="E200" s="9"/>
      <c r="F200" s="9"/>
      <c r="G200" s="9"/>
      <c r="H200" s="9"/>
      <c r="I200" s="8"/>
      <c r="J200" s="8"/>
      <c r="K200" s="9"/>
      <c r="L200" s="10" t="str">
        <f aca="false">IF(OR(I200="",J200=""),"",MAX(0,J200-I200))</f>
        <v/>
      </c>
      <c r="M200" s="9"/>
    </row>
    <row r="201" customFormat="false" ht="15" hidden="false" customHeight="true" outlineLevel="0" collapsed="false">
      <c r="A201" s="8"/>
      <c r="B201" s="9"/>
      <c r="C201" s="9"/>
      <c r="D201" s="9"/>
      <c r="E201" s="9"/>
      <c r="F201" s="9"/>
      <c r="G201" s="9"/>
      <c r="H201" s="9"/>
      <c r="I201" s="8"/>
      <c r="J201" s="8"/>
      <c r="K201" s="9"/>
      <c r="L201" s="10" t="str">
        <f aca="false">IF(OR(I201="",J201=""),"",MAX(0,J201-I201))</f>
        <v/>
      </c>
      <c r="M201" s="9"/>
    </row>
    <row r="202" customFormat="false" ht="15" hidden="false" customHeight="true" outlineLevel="0" collapsed="false">
      <c r="A202" s="8"/>
      <c r="B202" s="9"/>
      <c r="C202" s="9"/>
      <c r="D202" s="9"/>
      <c r="E202" s="9"/>
      <c r="F202" s="9"/>
      <c r="G202" s="9"/>
      <c r="H202" s="9"/>
      <c r="I202" s="8"/>
      <c r="J202" s="8"/>
      <c r="K202" s="9"/>
      <c r="L202" s="10" t="str">
        <f aca="false">IF(OR(I202="",J202=""),"",MAX(0,J202-I202))</f>
        <v/>
      </c>
      <c r="M202" s="9"/>
    </row>
    <row r="203" customFormat="false" ht="15" hidden="false" customHeight="true" outlineLevel="0" collapsed="false">
      <c r="A203" s="8"/>
      <c r="B203" s="9"/>
      <c r="C203" s="9"/>
      <c r="D203" s="9"/>
      <c r="E203" s="9"/>
      <c r="F203" s="9"/>
      <c r="G203" s="9"/>
      <c r="H203" s="9"/>
      <c r="I203" s="8"/>
      <c r="J203" s="8"/>
      <c r="K203" s="9"/>
      <c r="L203" s="10" t="str">
        <f aca="false">IF(OR(I203="",J203=""),"",MAX(0,J203-I203))</f>
        <v/>
      </c>
      <c r="M203" s="9"/>
    </row>
    <row r="204" customFormat="false" ht="15" hidden="false" customHeight="true" outlineLevel="0" collapsed="false">
      <c r="A204" s="8"/>
      <c r="B204" s="9"/>
      <c r="C204" s="9"/>
      <c r="D204" s="9"/>
      <c r="E204" s="9"/>
      <c r="F204" s="9"/>
      <c r="G204" s="9"/>
      <c r="H204" s="9"/>
      <c r="I204" s="8"/>
      <c r="J204" s="8"/>
      <c r="K204" s="9"/>
      <c r="L204" s="10" t="str">
        <f aca="false">IF(OR(I204="",J204=""),"",MAX(0,J204-I204))</f>
        <v/>
      </c>
      <c r="M204" s="9"/>
    </row>
    <row r="205" customFormat="false" ht="15" hidden="false" customHeight="true" outlineLevel="0" collapsed="false">
      <c r="A205" s="8"/>
      <c r="B205" s="9"/>
      <c r="C205" s="9"/>
      <c r="D205" s="9"/>
      <c r="E205" s="9"/>
      <c r="F205" s="9"/>
      <c r="G205" s="9"/>
      <c r="H205" s="9"/>
      <c r="I205" s="8"/>
      <c r="J205" s="8"/>
      <c r="K205" s="9"/>
      <c r="L205" s="10" t="str">
        <f aca="false">IF(OR(I205="",J205=""),"",MAX(0,J205-I205))</f>
        <v/>
      </c>
      <c r="M205" s="9"/>
    </row>
    <row r="206" customFormat="false" ht="15" hidden="false" customHeight="true" outlineLevel="0" collapsed="false">
      <c r="A206" s="8"/>
      <c r="B206" s="9"/>
      <c r="C206" s="9"/>
      <c r="D206" s="9"/>
      <c r="E206" s="9"/>
      <c r="F206" s="9"/>
      <c r="G206" s="9"/>
      <c r="H206" s="9"/>
      <c r="I206" s="8"/>
      <c r="J206" s="8"/>
      <c r="K206" s="9"/>
      <c r="L206" s="10" t="str">
        <f aca="false">IF(OR(I206="",J206=""),"",MAX(0,J206-I206))</f>
        <v/>
      </c>
      <c r="M206" s="9"/>
    </row>
    <row r="207" customFormat="false" ht="15" hidden="false" customHeight="true" outlineLevel="0" collapsed="false">
      <c r="A207" s="8"/>
      <c r="B207" s="9"/>
      <c r="C207" s="9"/>
      <c r="D207" s="9"/>
      <c r="E207" s="9"/>
      <c r="F207" s="9"/>
      <c r="G207" s="9"/>
      <c r="H207" s="9"/>
      <c r="I207" s="8"/>
      <c r="J207" s="8"/>
      <c r="K207" s="9"/>
      <c r="L207" s="10" t="str">
        <f aca="false">IF(OR(I207="",J207=""),"",MAX(0,J207-I207))</f>
        <v/>
      </c>
      <c r="M207" s="9"/>
    </row>
    <row r="208" customFormat="false" ht="15" hidden="false" customHeight="true" outlineLevel="0" collapsed="false">
      <c r="A208" s="8"/>
      <c r="B208" s="9"/>
      <c r="C208" s="9"/>
      <c r="D208" s="9"/>
      <c r="E208" s="9"/>
      <c r="F208" s="9"/>
      <c r="G208" s="9"/>
      <c r="H208" s="9"/>
      <c r="I208" s="8"/>
      <c r="J208" s="8"/>
      <c r="K208" s="9"/>
      <c r="L208" s="10" t="str">
        <f aca="false">IF(OR(I208="",J208=""),"",MAX(0,J208-I208))</f>
        <v/>
      </c>
      <c r="M208" s="9"/>
    </row>
    <row r="209" customFormat="false" ht="15" hidden="false" customHeight="true" outlineLevel="0" collapsed="false">
      <c r="A209" s="8"/>
      <c r="B209" s="9"/>
      <c r="C209" s="9"/>
      <c r="D209" s="9"/>
      <c r="E209" s="9"/>
      <c r="F209" s="9"/>
      <c r="G209" s="9"/>
      <c r="H209" s="9"/>
      <c r="I209" s="8"/>
      <c r="J209" s="8"/>
      <c r="K209" s="9"/>
      <c r="L209" s="10" t="str">
        <f aca="false">IF(OR(I209="",J209=""),"",MAX(0,J209-I209))</f>
        <v/>
      </c>
      <c r="M209" s="9"/>
    </row>
    <row r="210" customFormat="false" ht="15" hidden="false" customHeight="true" outlineLevel="0" collapsed="false">
      <c r="A210" s="8"/>
      <c r="B210" s="9"/>
      <c r="C210" s="9"/>
      <c r="D210" s="9"/>
      <c r="E210" s="9"/>
      <c r="F210" s="9"/>
      <c r="G210" s="9"/>
      <c r="H210" s="9"/>
      <c r="I210" s="8"/>
      <c r="J210" s="8"/>
      <c r="K210" s="9"/>
      <c r="L210" s="10" t="str">
        <f aca="false">IF(OR(I210="",J210=""),"",MAX(0,J210-I210))</f>
        <v/>
      </c>
      <c r="M210" s="9"/>
    </row>
    <row r="211" customFormat="false" ht="15" hidden="false" customHeight="true" outlineLevel="0" collapsed="false">
      <c r="A211" s="8"/>
      <c r="B211" s="9"/>
      <c r="C211" s="9"/>
      <c r="D211" s="9"/>
      <c r="E211" s="9"/>
      <c r="F211" s="9"/>
      <c r="G211" s="9"/>
      <c r="H211" s="9"/>
      <c r="I211" s="8"/>
      <c r="J211" s="8"/>
      <c r="K211" s="9"/>
      <c r="L211" s="10" t="str">
        <f aca="false">IF(OR(I211="",J211=""),"",MAX(0,J211-I211))</f>
        <v/>
      </c>
      <c r="M211" s="9"/>
    </row>
    <row r="212" customFormat="false" ht="15" hidden="false" customHeight="true" outlineLevel="0" collapsed="false">
      <c r="A212" s="8"/>
      <c r="B212" s="9"/>
      <c r="C212" s="9"/>
      <c r="D212" s="9"/>
      <c r="E212" s="9"/>
      <c r="F212" s="9"/>
      <c r="G212" s="9"/>
      <c r="H212" s="9"/>
      <c r="I212" s="8"/>
      <c r="J212" s="8"/>
      <c r="K212" s="9"/>
      <c r="L212" s="10" t="str">
        <f aca="false">IF(OR(I212="",J212=""),"",MAX(0,J212-I212))</f>
        <v/>
      </c>
      <c r="M212" s="9"/>
    </row>
    <row r="213" customFormat="false" ht="15" hidden="false" customHeight="true" outlineLevel="0" collapsed="false">
      <c r="A213" s="8"/>
      <c r="B213" s="9"/>
      <c r="C213" s="9"/>
      <c r="D213" s="9"/>
      <c r="E213" s="9"/>
      <c r="F213" s="9"/>
      <c r="G213" s="9"/>
      <c r="H213" s="9"/>
      <c r="I213" s="8"/>
      <c r="J213" s="8"/>
      <c r="K213" s="9"/>
      <c r="L213" s="10" t="str">
        <f aca="false">IF(OR(I213="",J213=""),"",MAX(0,J213-I213))</f>
        <v/>
      </c>
      <c r="M213" s="9"/>
    </row>
    <row r="214" customFormat="false" ht="15" hidden="false" customHeight="true" outlineLevel="0" collapsed="false">
      <c r="A214" s="8"/>
      <c r="B214" s="9"/>
      <c r="C214" s="9"/>
      <c r="D214" s="9"/>
      <c r="E214" s="9"/>
      <c r="F214" s="9"/>
      <c r="G214" s="9"/>
      <c r="H214" s="9"/>
      <c r="I214" s="8"/>
      <c r="J214" s="8"/>
      <c r="K214" s="9"/>
      <c r="L214" s="10" t="str">
        <f aca="false">IF(OR(I214="",J214=""),"",MAX(0,J214-I214))</f>
        <v/>
      </c>
      <c r="M214" s="9"/>
    </row>
    <row r="215" customFormat="false" ht="15" hidden="false" customHeight="true" outlineLevel="0" collapsed="false">
      <c r="A215" s="8"/>
      <c r="B215" s="9"/>
      <c r="C215" s="9"/>
      <c r="D215" s="9"/>
      <c r="E215" s="9"/>
      <c r="F215" s="9"/>
      <c r="G215" s="9"/>
      <c r="H215" s="9"/>
      <c r="I215" s="8"/>
      <c r="J215" s="8"/>
      <c r="K215" s="9"/>
      <c r="L215" s="10" t="str">
        <f aca="false">IF(OR(I215="",J215=""),"",MAX(0,J215-I215))</f>
        <v/>
      </c>
      <c r="M215" s="9"/>
    </row>
    <row r="216" customFormat="false" ht="15" hidden="false" customHeight="true" outlineLevel="0" collapsed="false">
      <c r="A216" s="8"/>
      <c r="B216" s="9"/>
      <c r="C216" s="9"/>
      <c r="D216" s="9"/>
      <c r="E216" s="9"/>
      <c r="F216" s="9"/>
      <c r="G216" s="9"/>
      <c r="H216" s="9"/>
      <c r="I216" s="8"/>
      <c r="J216" s="8"/>
      <c r="K216" s="9"/>
      <c r="L216" s="10" t="str">
        <f aca="false">IF(OR(I216="",J216=""),"",MAX(0,J216-I216))</f>
        <v/>
      </c>
      <c r="M216" s="9"/>
    </row>
    <row r="217" customFormat="false" ht="15" hidden="false" customHeight="true" outlineLevel="0" collapsed="false">
      <c r="A217" s="8"/>
      <c r="B217" s="9"/>
      <c r="C217" s="9"/>
      <c r="D217" s="9"/>
      <c r="E217" s="9"/>
      <c r="F217" s="9"/>
      <c r="G217" s="9"/>
      <c r="H217" s="9"/>
      <c r="I217" s="8"/>
      <c r="J217" s="8"/>
      <c r="K217" s="9"/>
      <c r="L217" s="10" t="str">
        <f aca="false">IF(OR(I217="",J217=""),"",MAX(0,J217-I217))</f>
        <v/>
      </c>
      <c r="M217" s="9"/>
    </row>
    <row r="218" customFormat="false" ht="15" hidden="false" customHeight="true" outlineLevel="0" collapsed="false">
      <c r="A218" s="8"/>
      <c r="B218" s="9"/>
      <c r="C218" s="9"/>
      <c r="D218" s="9"/>
      <c r="E218" s="9"/>
      <c r="F218" s="9"/>
      <c r="G218" s="9"/>
      <c r="H218" s="9"/>
      <c r="I218" s="8"/>
      <c r="J218" s="8"/>
      <c r="K218" s="9"/>
      <c r="L218" s="10" t="str">
        <f aca="false">IF(OR(I218="",J218=""),"",MAX(0,J218-I218))</f>
        <v/>
      </c>
      <c r="M218" s="9"/>
    </row>
    <row r="219" customFormat="false" ht="15" hidden="false" customHeight="true" outlineLevel="0" collapsed="false">
      <c r="A219" s="8"/>
      <c r="B219" s="9"/>
      <c r="C219" s="9"/>
      <c r="D219" s="9"/>
      <c r="E219" s="9"/>
      <c r="F219" s="9"/>
      <c r="G219" s="9"/>
      <c r="H219" s="9"/>
      <c r="I219" s="8"/>
      <c r="J219" s="8"/>
      <c r="K219" s="9"/>
      <c r="L219" s="10" t="str">
        <f aca="false">IF(OR(I219="",J219=""),"",MAX(0,J219-I219))</f>
        <v/>
      </c>
      <c r="M219" s="9"/>
    </row>
    <row r="220" customFormat="false" ht="15" hidden="false" customHeight="true" outlineLevel="0" collapsed="false">
      <c r="A220" s="8"/>
      <c r="B220" s="9"/>
      <c r="C220" s="9"/>
      <c r="D220" s="9"/>
      <c r="E220" s="9"/>
      <c r="F220" s="9"/>
      <c r="G220" s="9"/>
      <c r="H220" s="9"/>
      <c r="I220" s="8"/>
      <c r="J220" s="8"/>
      <c r="K220" s="9"/>
      <c r="L220" s="10" t="str">
        <f aca="false">IF(OR(I220="",J220=""),"",MAX(0,J220-I220))</f>
        <v/>
      </c>
      <c r="M220" s="9"/>
    </row>
    <row r="221" customFormat="false" ht="15" hidden="false" customHeight="true" outlineLevel="0" collapsed="false">
      <c r="A221" s="8"/>
      <c r="B221" s="9"/>
      <c r="C221" s="9"/>
      <c r="D221" s="9"/>
      <c r="E221" s="9"/>
      <c r="F221" s="9"/>
      <c r="G221" s="9"/>
      <c r="H221" s="9"/>
      <c r="I221" s="8"/>
      <c r="J221" s="8"/>
      <c r="K221" s="9"/>
      <c r="L221" s="10" t="str">
        <f aca="false">IF(OR(I221="",J221=""),"",MAX(0,J221-I221))</f>
        <v/>
      </c>
      <c r="M221" s="9"/>
    </row>
    <row r="222" customFormat="false" ht="15" hidden="false" customHeight="true" outlineLevel="0" collapsed="false">
      <c r="A222" s="8"/>
      <c r="B222" s="9"/>
      <c r="C222" s="9"/>
      <c r="D222" s="9"/>
      <c r="E222" s="9"/>
      <c r="F222" s="9"/>
      <c r="G222" s="9"/>
      <c r="H222" s="9"/>
      <c r="I222" s="8"/>
      <c r="J222" s="8"/>
      <c r="K222" s="9"/>
      <c r="L222" s="10" t="str">
        <f aca="false">IF(OR(I222="",J222=""),"",MAX(0,J222-I222))</f>
        <v/>
      </c>
      <c r="M222" s="9"/>
    </row>
    <row r="223" customFormat="false" ht="15" hidden="false" customHeight="true" outlineLevel="0" collapsed="false">
      <c r="A223" s="8"/>
      <c r="B223" s="9"/>
      <c r="C223" s="9"/>
      <c r="D223" s="9"/>
      <c r="E223" s="9"/>
      <c r="F223" s="9"/>
      <c r="G223" s="9"/>
      <c r="H223" s="9"/>
      <c r="I223" s="8"/>
      <c r="J223" s="8"/>
      <c r="K223" s="9"/>
      <c r="L223" s="10" t="str">
        <f aca="false">IF(OR(I223="",J223=""),"",MAX(0,J223-I223))</f>
        <v/>
      </c>
      <c r="M223" s="9"/>
    </row>
    <row r="224" customFormat="false" ht="15" hidden="false" customHeight="true" outlineLevel="0" collapsed="false">
      <c r="A224" s="8"/>
      <c r="B224" s="9"/>
      <c r="C224" s="9"/>
      <c r="D224" s="9"/>
      <c r="E224" s="9"/>
      <c r="F224" s="9"/>
      <c r="G224" s="9"/>
      <c r="H224" s="9"/>
      <c r="I224" s="8"/>
      <c r="J224" s="8"/>
      <c r="K224" s="9"/>
      <c r="L224" s="10" t="str">
        <f aca="false">IF(OR(I224="",J224=""),"",MAX(0,J224-I224))</f>
        <v/>
      </c>
      <c r="M224" s="9"/>
    </row>
    <row r="225" customFormat="false" ht="15" hidden="false" customHeight="true" outlineLevel="0" collapsed="false">
      <c r="A225" s="8"/>
      <c r="B225" s="9"/>
      <c r="C225" s="9"/>
      <c r="D225" s="9"/>
      <c r="E225" s="9"/>
      <c r="F225" s="9"/>
      <c r="G225" s="9"/>
      <c r="H225" s="9"/>
      <c r="I225" s="8"/>
      <c r="J225" s="8"/>
      <c r="K225" s="9"/>
      <c r="L225" s="10" t="str">
        <f aca="false">IF(OR(I225="",J225=""),"",MAX(0,J225-I225))</f>
        <v/>
      </c>
      <c r="M225" s="9"/>
    </row>
    <row r="226" customFormat="false" ht="15" hidden="false" customHeight="true" outlineLevel="0" collapsed="false">
      <c r="A226" s="8"/>
      <c r="B226" s="9"/>
      <c r="C226" s="9"/>
      <c r="D226" s="9"/>
      <c r="E226" s="9"/>
      <c r="F226" s="9"/>
      <c r="G226" s="9"/>
      <c r="H226" s="9"/>
      <c r="I226" s="8"/>
      <c r="J226" s="8"/>
      <c r="K226" s="9"/>
      <c r="L226" s="10" t="str">
        <f aca="false">IF(OR(I226="",J226=""),"",MAX(0,J226-I226))</f>
        <v/>
      </c>
      <c r="M226" s="9"/>
    </row>
    <row r="227" customFormat="false" ht="15" hidden="false" customHeight="true" outlineLevel="0" collapsed="false">
      <c r="A227" s="8"/>
      <c r="B227" s="9"/>
      <c r="C227" s="9"/>
      <c r="D227" s="9"/>
      <c r="E227" s="9"/>
      <c r="F227" s="9"/>
      <c r="G227" s="9"/>
      <c r="H227" s="9"/>
      <c r="I227" s="8"/>
      <c r="J227" s="8"/>
      <c r="K227" s="9"/>
      <c r="L227" s="10" t="str">
        <f aca="false">IF(OR(I227="",J227=""),"",MAX(0,J227-I227))</f>
        <v/>
      </c>
      <c r="M227" s="9"/>
    </row>
    <row r="228" customFormat="false" ht="15" hidden="false" customHeight="true" outlineLevel="0" collapsed="false">
      <c r="A228" s="8"/>
      <c r="B228" s="9"/>
      <c r="C228" s="9"/>
      <c r="D228" s="9"/>
      <c r="E228" s="9"/>
      <c r="F228" s="9"/>
      <c r="G228" s="9"/>
      <c r="H228" s="9"/>
      <c r="I228" s="8"/>
      <c r="J228" s="8"/>
      <c r="K228" s="9"/>
      <c r="L228" s="10" t="str">
        <f aca="false">IF(OR(I228="",J228=""),"",MAX(0,J228-I228))</f>
        <v/>
      </c>
      <c r="M228" s="9"/>
    </row>
    <row r="229" customFormat="false" ht="15" hidden="false" customHeight="true" outlineLevel="0" collapsed="false">
      <c r="A229" s="8"/>
      <c r="B229" s="9"/>
      <c r="C229" s="9"/>
      <c r="D229" s="9"/>
      <c r="E229" s="9"/>
      <c r="F229" s="9"/>
      <c r="G229" s="9"/>
      <c r="H229" s="9"/>
      <c r="I229" s="8"/>
      <c r="J229" s="8"/>
      <c r="K229" s="9"/>
      <c r="L229" s="10" t="str">
        <f aca="false">IF(OR(I229="",J229=""),"",MAX(0,J229-I229))</f>
        <v/>
      </c>
      <c r="M229" s="9"/>
    </row>
    <row r="230" customFormat="false" ht="15" hidden="false" customHeight="true" outlineLevel="0" collapsed="false">
      <c r="A230" s="8"/>
      <c r="B230" s="9"/>
      <c r="C230" s="9"/>
      <c r="D230" s="9"/>
      <c r="E230" s="9"/>
      <c r="F230" s="9"/>
      <c r="G230" s="9"/>
      <c r="H230" s="9"/>
      <c r="I230" s="8"/>
      <c r="J230" s="8"/>
      <c r="K230" s="9"/>
      <c r="L230" s="10" t="str">
        <f aca="false">IF(OR(I230="",J230=""),"",MAX(0,J230-I230))</f>
        <v/>
      </c>
      <c r="M230" s="9"/>
    </row>
    <row r="231" customFormat="false" ht="15" hidden="false" customHeight="true" outlineLevel="0" collapsed="false">
      <c r="A231" s="8"/>
      <c r="B231" s="9"/>
      <c r="C231" s="9"/>
      <c r="D231" s="9"/>
      <c r="E231" s="9"/>
      <c r="F231" s="9"/>
      <c r="G231" s="9"/>
      <c r="H231" s="9"/>
      <c r="I231" s="8"/>
      <c r="J231" s="8"/>
      <c r="K231" s="9"/>
      <c r="L231" s="10" t="str">
        <f aca="false">IF(OR(I231="",J231=""),"",MAX(0,J231-I231))</f>
        <v/>
      </c>
      <c r="M231" s="9"/>
    </row>
    <row r="232" customFormat="false" ht="15" hidden="false" customHeight="true" outlineLevel="0" collapsed="false">
      <c r="A232" s="8"/>
      <c r="B232" s="9"/>
      <c r="C232" s="9"/>
      <c r="D232" s="9"/>
      <c r="E232" s="9"/>
      <c r="F232" s="9"/>
      <c r="G232" s="9"/>
      <c r="H232" s="9"/>
      <c r="I232" s="8"/>
      <c r="J232" s="8"/>
      <c r="K232" s="9"/>
      <c r="L232" s="10" t="str">
        <f aca="false">IF(OR(I232="",J232=""),"",MAX(0,J232-I232))</f>
        <v/>
      </c>
      <c r="M232" s="9"/>
    </row>
    <row r="233" customFormat="false" ht="15" hidden="false" customHeight="true" outlineLevel="0" collapsed="false">
      <c r="A233" s="8"/>
      <c r="B233" s="9"/>
      <c r="C233" s="9"/>
      <c r="D233" s="9"/>
      <c r="E233" s="9"/>
      <c r="F233" s="9"/>
      <c r="G233" s="9"/>
      <c r="H233" s="9"/>
      <c r="I233" s="8"/>
      <c r="J233" s="8"/>
      <c r="K233" s="9"/>
      <c r="L233" s="10" t="str">
        <f aca="false">IF(OR(I233="",J233=""),"",MAX(0,J233-I233))</f>
        <v/>
      </c>
      <c r="M233" s="9"/>
    </row>
    <row r="234" customFormat="false" ht="15" hidden="false" customHeight="true" outlineLevel="0" collapsed="false">
      <c r="A234" s="8"/>
      <c r="B234" s="9"/>
      <c r="C234" s="9"/>
      <c r="D234" s="9"/>
      <c r="E234" s="9"/>
      <c r="F234" s="9"/>
      <c r="G234" s="9"/>
      <c r="H234" s="9"/>
      <c r="I234" s="8"/>
      <c r="J234" s="8"/>
      <c r="K234" s="9"/>
      <c r="L234" s="10" t="str">
        <f aca="false">IF(OR(I234="",J234=""),"",MAX(0,J234-I234))</f>
        <v/>
      </c>
      <c r="M234" s="9"/>
    </row>
    <row r="235" customFormat="false" ht="15" hidden="false" customHeight="true" outlineLevel="0" collapsed="false">
      <c r="A235" s="8"/>
      <c r="B235" s="9"/>
      <c r="C235" s="9"/>
      <c r="D235" s="9"/>
      <c r="E235" s="9"/>
      <c r="F235" s="9"/>
      <c r="G235" s="9"/>
      <c r="H235" s="9"/>
      <c r="I235" s="8"/>
      <c r="J235" s="8"/>
      <c r="K235" s="9"/>
      <c r="L235" s="10" t="str">
        <f aca="false">IF(OR(I235="",J235=""),"",MAX(0,J235-I235))</f>
        <v/>
      </c>
      <c r="M235" s="9"/>
    </row>
    <row r="236" customFormat="false" ht="15" hidden="false" customHeight="true" outlineLevel="0" collapsed="false">
      <c r="A236" s="8"/>
      <c r="B236" s="9"/>
      <c r="C236" s="9"/>
      <c r="D236" s="9"/>
      <c r="E236" s="9"/>
      <c r="F236" s="9"/>
      <c r="G236" s="9"/>
      <c r="H236" s="9"/>
      <c r="I236" s="8"/>
      <c r="J236" s="8"/>
      <c r="K236" s="9"/>
      <c r="L236" s="10" t="str">
        <f aca="false">IF(OR(I236="",J236=""),"",MAX(0,J236-I236))</f>
        <v/>
      </c>
      <c r="M236" s="9"/>
    </row>
    <row r="237" customFormat="false" ht="15" hidden="false" customHeight="true" outlineLevel="0" collapsed="false">
      <c r="A237" s="8"/>
      <c r="B237" s="9"/>
      <c r="C237" s="9"/>
      <c r="D237" s="9"/>
      <c r="E237" s="9"/>
      <c r="F237" s="9"/>
      <c r="G237" s="9"/>
      <c r="H237" s="9"/>
      <c r="I237" s="8"/>
      <c r="J237" s="8"/>
      <c r="K237" s="9"/>
      <c r="L237" s="10" t="str">
        <f aca="false">IF(OR(I237="",J237=""),"",MAX(0,J237-I237))</f>
        <v/>
      </c>
      <c r="M237" s="9"/>
    </row>
    <row r="238" customFormat="false" ht="15" hidden="false" customHeight="true" outlineLevel="0" collapsed="false">
      <c r="A238" s="8"/>
      <c r="B238" s="9"/>
      <c r="C238" s="9"/>
      <c r="D238" s="9"/>
      <c r="E238" s="9"/>
      <c r="F238" s="9"/>
      <c r="G238" s="9"/>
      <c r="H238" s="9"/>
      <c r="I238" s="8"/>
      <c r="J238" s="8"/>
      <c r="K238" s="9"/>
      <c r="L238" s="10" t="str">
        <f aca="false">IF(OR(I238="",J238=""),"",MAX(0,J238-I238))</f>
        <v/>
      </c>
      <c r="M238" s="9"/>
    </row>
    <row r="239" customFormat="false" ht="15" hidden="false" customHeight="true" outlineLevel="0" collapsed="false">
      <c r="A239" s="8"/>
      <c r="B239" s="9"/>
      <c r="C239" s="9"/>
      <c r="D239" s="9"/>
      <c r="E239" s="9"/>
      <c r="F239" s="9"/>
      <c r="G239" s="9"/>
      <c r="H239" s="9"/>
      <c r="I239" s="8"/>
      <c r="J239" s="8"/>
      <c r="K239" s="9"/>
      <c r="L239" s="10" t="str">
        <f aca="false">IF(OR(I239="",J239=""),"",MAX(0,J239-I239))</f>
        <v/>
      </c>
      <c r="M239" s="9"/>
    </row>
    <row r="240" customFormat="false" ht="15" hidden="false" customHeight="true" outlineLevel="0" collapsed="false">
      <c r="A240" s="8"/>
      <c r="B240" s="9"/>
      <c r="C240" s="9"/>
      <c r="D240" s="9"/>
      <c r="E240" s="9"/>
      <c r="F240" s="9"/>
      <c r="G240" s="9"/>
      <c r="H240" s="9"/>
      <c r="I240" s="8"/>
      <c r="J240" s="8"/>
      <c r="K240" s="9"/>
      <c r="L240" s="10" t="str">
        <f aca="false">IF(OR(I240="",J240=""),"",MAX(0,J240-I240))</f>
        <v/>
      </c>
      <c r="M240" s="9"/>
    </row>
    <row r="241" customFormat="false" ht="15" hidden="false" customHeight="true" outlineLevel="0" collapsed="false">
      <c r="A241" s="8"/>
      <c r="B241" s="9"/>
      <c r="C241" s="9"/>
      <c r="D241" s="9"/>
      <c r="E241" s="9"/>
      <c r="F241" s="9"/>
      <c r="G241" s="9"/>
      <c r="H241" s="9"/>
      <c r="I241" s="8"/>
      <c r="J241" s="8"/>
      <c r="K241" s="9"/>
      <c r="L241" s="10" t="str">
        <f aca="false">IF(OR(I241="",J241=""),"",MAX(0,J241-I241))</f>
        <v/>
      </c>
      <c r="M241" s="9"/>
    </row>
    <row r="242" customFormat="false" ht="15" hidden="false" customHeight="true" outlineLevel="0" collapsed="false">
      <c r="A242" s="8"/>
      <c r="B242" s="9"/>
      <c r="C242" s="9"/>
      <c r="D242" s="9"/>
      <c r="E242" s="9"/>
      <c r="F242" s="9"/>
      <c r="G242" s="9"/>
      <c r="H242" s="9"/>
      <c r="I242" s="8"/>
      <c r="J242" s="8"/>
      <c r="K242" s="9"/>
      <c r="L242" s="10" t="str">
        <f aca="false">IF(OR(I242="",J242=""),"",MAX(0,J242-I242))</f>
        <v/>
      </c>
      <c r="M242" s="9"/>
    </row>
    <row r="243" customFormat="false" ht="15" hidden="false" customHeight="true" outlineLevel="0" collapsed="false">
      <c r="A243" s="8"/>
      <c r="B243" s="9"/>
      <c r="C243" s="9"/>
      <c r="D243" s="9"/>
      <c r="E243" s="9"/>
      <c r="F243" s="9"/>
      <c r="G243" s="9"/>
      <c r="H243" s="9"/>
      <c r="I243" s="8"/>
      <c r="J243" s="8"/>
      <c r="K243" s="9"/>
      <c r="L243" s="10" t="str">
        <f aca="false">IF(OR(I243="",J243=""),"",MAX(0,J243-I243))</f>
        <v/>
      </c>
      <c r="M243" s="9"/>
    </row>
    <row r="244" customFormat="false" ht="15" hidden="false" customHeight="true" outlineLevel="0" collapsed="false">
      <c r="A244" s="8"/>
      <c r="B244" s="9"/>
      <c r="C244" s="9"/>
      <c r="D244" s="9"/>
      <c r="E244" s="9"/>
      <c r="F244" s="9"/>
      <c r="G244" s="9"/>
      <c r="H244" s="9"/>
      <c r="I244" s="8"/>
      <c r="J244" s="8"/>
      <c r="K244" s="9"/>
      <c r="L244" s="10" t="str">
        <f aca="false">IF(OR(I244="",J244=""),"",MAX(0,J244-I244))</f>
        <v/>
      </c>
      <c r="M244" s="9"/>
    </row>
    <row r="245" customFormat="false" ht="15" hidden="false" customHeight="true" outlineLevel="0" collapsed="false">
      <c r="A245" s="8"/>
      <c r="B245" s="9"/>
      <c r="C245" s="9"/>
      <c r="D245" s="9"/>
      <c r="E245" s="9"/>
      <c r="F245" s="9"/>
      <c r="G245" s="9"/>
      <c r="H245" s="9"/>
      <c r="I245" s="8"/>
      <c r="J245" s="8"/>
      <c r="K245" s="9"/>
      <c r="L245" s="10" t="str">
        <f aca="false">IF(OR(I245="",J245=""),"",MAX(0,J245-I245))</f>
        <v/>
      </c>
      <c r="M245" s="9"/>
    </row>
    <row r="246" customFormat="false" ht="15" hidden="false" customHeight="true" outlineLevel="0" collapsed="false">
      <c r="A246" s="8"/>
      <c r="B246" s="9"/>
      <c r="C246" s="9"/>
      <c r="D246" s="9"/>
      <c r="E246" s="9"/>
      <c r="F246" s="9"/>
      <c r="G246" s="9"/>
      <c r="H246" s="9"/>
      <c r="I246" s="8"/>
      <c r="J246" s="8"/>
      <c r="K246" s="9"/>
      <c r="L246" s="10" t="str">
        <f aca="false">IF(OR(I246="",J246=""),"",MAX(0,J246-I246))</f>
        <v/>
      </c>
      <c r="M246" s="9"/>
    </row>
    <row r="247" customFormat="false" ht="15" hidden="false" customHeight="true" outlineLevel="0" collapsed="false">
      <c r="A247" s="8"/>
      <c r="B247" s="9"/>
      <c r="C247" s="9"/>
      <c r="D247" s="9"/>
      <c r="E247" s="9"/>
      <c r="F247" s="9"/>
      <c r="G247" s="9"/>
      <c r="H247" s="9"/>
      <c r="I247" s="8"/>
      <c r="J247" s="8"/>
      <c r="K247" s="9"/>
      <c r="L247" s="10" t="str">
        <f aca="false">IF(OR(I247="",J247=""),"",MAX(0,J247-I247))</f>
        <v/>
      </c>
      <c r="M247" s="9"/>
    </row>
    <row r="248" customFormat="false" ht="15" hidden="false" customHeight="true" outlineLevel="0" collapsed="false">
      <c r="A248" s="8"/>
      <c r="B248" s="9"/>
      <c r="C248" s="9"/>
      <c r="D248" s="9"/>
      <c r="E248" s="9"/>
      <c r="F248" s="9"/>
      <c r="G248" s="9"/>
      <c r="H248" s="9"/>
      <c r="I248" s="8"/>
      <c r="J248" s="8"/>
      <c r="K248" s="9"/>
      <c r="L248" s="10" t="str">
        <f aca="false">IF(OR(I248="",J248=""),"",MAX(0,J248-I248))</f>
        <v/>
      </c>
      <c r="M248" s="9"/>
    </row>
    <row r="249" customFormat="false" ht="15" hidden="false" customHeight="true" outlineLevel="0" collapsed="false">
      <c r="A249" s="8"/>
      <c r="B249" s="9"/>
      <c r="C249" s="9"/>
      <c r="D249" s="9"/>
      <c r="E249" s="9"/>
      <c r="F249" s="9"/>
      <c r="G249" s="9"/>
      <c r="H249" s="9"/>
      <c r="I249" s="8"/>
      <c r="J249" s="8"/>
      <c r="K249" s="9"/>
      <c r="L249" s="10" t="str">
        <f aca="false">IF(OR(I249="",J249=""),"",MAX(0,J249-I249))</f>
        <v/>
      </c>
      <c r="M249" s="9"/>
    </row>
    <row r="250" customFormat="false" ht="15" hidden="false" customHeight="true" outlineLevel="0" collapsed="false">
      <c r="A250" s="8"/>
      <c r="B250" s="9"/>
      <c r="C250" s="9"/>
      <c r="D250" s="9"/>
      <c r="E250" s="9"/>
      <c r="F250" s="9"/>
      <c r="G250" s="9"/>
      <c r="H250" s="9"/>
      <c r="I250" s="8"/>
      <c r="J250" s="8"/>
      <c r="K250" s="9"/>
      <c r="L250" s="10" t="str">
        <f aca="false">IF(OR(I250="",J250=""),"",MAX(0,J250-I250))</f>
        <v/>
      </c>
      <c r="M250" s="9"/>
    </row>
    <row r="251" customFormat="false" ht="15" hidden="false" customHeight="true" outlineLevel="0" collapsed="false">
      <c r="A251" s="8"/>
      <c r="B251" s="9"/>
      <c r="C251" s="9"/>
      <c r="D251" s="9"/>
      <c r="E251" s="9"/>
      <c r="F251" s="9"/>
      <c r="G251" s="9"/>
      <c r="H251" s="9"/>
      <c r="I251" s="8"/>
      <c r="J251" s="8"/>
      <c r="K251" s="9"/>
      <c r="L251" s="10" t="str">
        <f aca="false">IF(OR(I251="",J251=""),"",MAX(0,J251-I251))</f>
        <v/>
      </c>
      <c r="M251" s="9"/>
    </row>
    <row r="252" customFormat="false" ht="15" hidden="false" customHeight="true" outlineLevel="0" collapsed="false">
      <c r="A252" s="8"/>
      <c r="B252" s="9"/>
      <c r="C252" s="9"/>
      <c r="D252" s="9"/>
      <c r="E252" s="9"/>
      <c r="F252" s="9"/>
      <c r="G252" s="9"/>
      <c r="H252" s="9"/>
      <c r="I252" s="8"/>
      <c r="J252" s="8"/>
      <c r="K252" s="9"/>
      <c r="L252" s="10" t="str">
        <f aca="false">IF(OR(I252="",J252=""),"",MAX(0,J252-I252))</f>
        <v/>
      </c>
      <c r="M252" s="9"/>
    </row>
    <row r="253" customFormat="false" ht="15" hidden="false" customHeight="true" outlineLevel="0" collapsed="false">
      <c r="A253" s="8"/>
      <c r="B253" s="9"/>
      <c r="C253" s="9"/>
      <c r="D253" s="9"/>
      <c r="E253" s="9"/>
      <c r="F253" s="9"/>
      <c r="G253" s="9"/>
      <c r="H253" s="9"/>
      <c r="I253" s="8"/>
      <c r="J253" s="8"/>
      <c r="K253" s="9"/>
      <c r="L253" s="10" t="str">
        <f aca="false">IF(OR(I253="",J253=""),"",MAX(0,J253-I253))</f>
        <v/>
      </c>
      <c r="M253" s="9"/>
    </row>
    <row r="254" customFormat="false" ht="15" hidden="false" customHeight="true" outlineLevel="0" collapsed="false">
      <c r="A254" s="8"/>
      <c r="B254" s="9"/>
      <c r="C254" s="9"/>
      <c r="D254" s="9"/>
      <c r="E254" s="9"/>
      <c r="F254" s="9"/>
      <c r="G254" s="9"/>
      <c r="H254" s="9"/>
      <c r="I254" s="8"/>
      <c r="J254" s="8"/>
      <c r="K254" s="9"/>
      <c r="L254" s="10" t="str">
        <f aca="false">IF(OR(I254="",J254=""),"",MAX(0,J254-I254))</f>
        <v/>
      </c>
      <c r="M254" s="9"/>
    </row>
    <row r="255" customFormat="false" ht="15" hidden="false" customHeight="true" outlineLevel="0" collapsed="false">
      <c r="A255" s="8"/>
      <c r="B255" s="9"/>
      <c r="C255" s="9"/>
      <c r="D255" s="9"/>
      <c r="E255" s="9"/>
      <c r="F255" s="9"/>
      <c r="G255" s="9"/>
      <c r="H255" s="9"/>
      <c r="I255" s="8"/>
      <c r="J255" s="8"/>
      <c r="K255" s="9"/>
      <c r="L255" s="10" t="str">
        <f aca="false">IF(OR(I255="",J255=""),"",MAX(0,J255-I255))</f>
        <v/>
      </c>
      <c r="M255" s="9"/>
    </row>
    <row r="256" customFormat="false" ht="15" hidden="false" customHeight="true" outlineLevel="0" collapsed="false">
      <c r="A256" s="8"/>
      <c r="B256" s="9"/>
      <c r="C256" s="9"/>
      <c r="D256" s="9"/>
      <c r="E256" s="9"/>
      <c r="F256" s="9"/>
      <c r="G256" s="9"/>
      <c r="H256" s="9"/>
      <c r="I256" s="8"/>
      <c r="J256" s="8"/>
      <c r="K256" s="9"/>
      <c r="L256" s="10" t="str">
        <f aca="false">IF(OR(I256="",J256=""),"",MAX(0,J256-I256))</f>
        <v/>
      </c>
      <c r="M256" s="9"/>
    </row>
    <row r="257" customFormat="false" ht="15" hidden="false" customHeight="true" outlineLevel="0" collapsed="false">
      <c r="A257" s="8"/>
      <c r="B257" s="9"/>
      <c r="C257" s="9"/>
      <c r="D257" s="9"/>
      <c r="E257" s="9"/>
      <c r="F257" s="9"/>
      <c r="G257" s="9"/>
      <c r="H257" s="9"/>
      <c r="I257" s="8"/>
      <c r="J257" s="8"/>
      <c r="K257" s="9"/>
      <c r="L257" s="10" t="str">
        <f aca="false">IF(OR(I257="",J257=""),"",MAX(0,J257-I257))</f>
        <v/>
      </c>
      <c r="M257" s="9"/>
    </row>
    <row r="258" customFormat="false" ht="15" hidden="false" customHeight="true" outlineLevel="0" collapsed="false">
      <c r="A258" s="8"/>
      <c r="B258" s="9"/>
      <c r="C258" s="9"/>
      <c r="D258" s="9"/>
      <c r="E258" s="9"/>
      <c r="F258" s="9"/>
      <c r="G258" s="9"/>
      <c r="H258" s="9"/>
      <c r="I258" s="8"/>
      <c r="J258" s="8"/>
      <c r="K258" s="9"/>
      <c r="L258" s="10" t="str">
        <f aca="false">IF(OR(I258="",J258=""),"",MAX(0,J258-I258))</f>
        <v/>
      </c>
      <c r="M258" s="9"/>
    </row>
    <row r="259" customFormat="false" ht="15" hidden="false" customHeight="true" outlineLevel="0" collapsed="false">
      <c r="A259" s="8"/>
      <c r="B259" s="9"/>
      <c r="C259" s="9"/>
      <c r="D259" s="9"/>
      <c r="E259" s="9"/>
      <c r="F259" s="9"/>
      <c r="G259" s="9"/>
      <c r="H259" s="9"/>
      <c r="I259" s="8"/>
      <c r="J259" s="8"/>
      <c r="K259" s="9"/>
      <c r="L259" s="10" t="str">
        <f aca="false">IF(OR(I259="",J259=""),"",MAX(0,J259-I259))</f>
        <v/>
      </c>
      <c r="M259" s="9"/>
    </row>
    <row r="260" customFormat="false" ht="15" hidden="false" customHeight="true" outlineLevel="0" collapsed="false">
      <c r="A260" s="8"/>
      <c r="B260" s="9"/>
      <c r="C260" s="9"/>
      <c r="D260" s="9"/>
      <c r="E260" s="9"/>
      <c r="F260" s="9"/>
      <c r="G260" s="9"/>
      <c r="H260" s="9"/>
      <c r="I260" s="8"/>
      <c r="J260" s="8"/>
      <c r="K260" s="9"/>
      <c r="L260" s="10" t="str">
        <f aca="false">IF(OR(I260="",J260=""),"",MAX(0,J260-I260))</f>
        <v/>
      </c>
      <c r="M260" s="9"/>
    </row>
    <row r="261" customFormat="false" ht="15" hidden="false" customHeight="true" outlineLevel="0" collapsed="false">
      <c r="A261" s="8"/>
      <c r="B261" s="9"/>
      <c r="C261" s="9"/>
      <c r="D261" s="9"/>
      <c r="E261" s="9"/>
      <c r="F261" s="9"/>
      <c r="G261" s="9"/>
      <c r="H261" s="9"/>
      <c r="I261" s="8"/>
      <c r="J261" s="8"/>
      <c r="K261" s="9"/>
      <c r="L261" s="10" t="str">
        <f aca="false">IF(OR(I261="",J261=""),"",MAX(0,J261-I261))</f>
        <v/>
      </c>
      <c r="M261" s="9"/>
    </row>
    <row r="262" customFormat="false" ht="15" hidden="false" customHeight="true" outlineLevel="0" collapsed="false">
      <c r="A262" s="8"/>
      <c r="B262" s="9"/>
      <c r="C262" s="9"/>
      <c r="D262" s="9"/>
      <c r="E262" s="9"/>
      <c r="F262" s="9"/>
      <c r="G262" s="9"/>
      <c r="H262" s="9"/>
      <c r="I262" s="8"/>
      <c r="J262" s="8"/>
      <c r="K262" s="9"/>
      <c r="L262" s="10" t="str">
        <f aca="false">IF(OR(I262="",J262=""),"",MAX(0,J262-I262))</f>
        <v/>
      </c>
      <c r="M262" s="9"/>
    </row>
    <row r="263" customFormat="false" ht="15" hidden="false" customHeight="true" outlineLevel="0" collapsed="false">
      <c r="A263" s="8"/>
      <c r="B263" s="9"/>
      <c r="C263" s="9"/>
      <c r="D263" s="9"/>
      <c r="E263" s="9"/>
      <c r="F263" s="9"/>
      <c r="G263" s="9"/>
      <c r="H263" s="9"/>
      <c r="I263" s="8"/>
      <c r="J263" s="8"/>
      <c r="K263" s="9"/>
      <c r="L263" s="10" t="str">
        <f aca="false">IF(OR(I263="",J263=""),"",MAX(0,J263-I263))</f>
        <v/>
      </c>
      <c r="M263" s="9"/>
    </row>
    <row r="264" customFormat="false" ht="15" hidden="false" customHeight="true" outlineLevel="0" collapsed="false">
      <c r="A264" s="8"/>
      <c r="B264" s="9"/>
      <c r="C264" s="9"/>
      <c r="D264" s="9"/>
      <c r="E264" s="9"/>
      <c r="F264" s="9"/>
      <c r="G264" s="9"/>
      <c r="H264" s="9"/>
      <c r="I264" s="8"/>
      <c r="J264" s="8"/>
      <c r="K264" s="9"/>
      <c r="L264" s="10" t="str">
        <f aca="false">IF(OR(I264="",J264=""),"",MAX(0,J264-I264))</f>
        <v/>
      </c>
      <c r="M264" s="9"/>
    </row>
    <row r="265" customFormat="false" ht="15" hidden="false" customHeight="true" outlineLevel="0" collapsed="false">
      <c r="A265" s="8"/>
      <c r="B265" s="9"/>
      <c r="C265" s="9"/>
      <c r="D265" s="9"/>
      <c r="E265" s="9"/>
      <c r="F265" s="9"/>
      <c r="G265" s="9"/>
      <c r="H265" s="9"/>
      <c r="I265" s="8"/>
      <c r="J265" s="8"/>
      <c r="K265" s="9"/>
      <c r="L265" s="10" t="str">
        <f aca="false">IF(OR(I265="",J265=""),"",MAX(0,J265-I265))</f>
        <v/>
      </c>
      <c r="M265" s="9"/>
    </row>
    <row r="266" customFormat="false" ht="15" hidden="false" customHeight="true" outlineLevel="0" collapsed="false">
      <c r="A266" s="8"/>
      <c r="B266" s="9"/>
      <c r="C266" s="9"/>
      <c r="D266" s="9"/>
      <c r="E266" s="9"/>
      <c r="F266" s="9"/>
      <c r="G266" s="9"/>
      <c r="H266" s="9"/>
      <c r="I266" s="8"/>
      <c r="J266" s="8"/>
      <c r="K266" s="9"/>
      <c r="L266" s="10" t="str">
        <f aca="false">IF(OR(I266="",J266=""),"",MAX(0,J266-I266))</f>
        <v/>
      </c>
      <c r="M266" s="9"/>
    </row>
    <row r="267" customFormat="false" ht="15" hidden="false" customHeight="true" outlineLevel="0" collapsed="false">
      <c r="A267" s="8"/>
      <c r="B267" s="9"/>
      <c r="C267" s="9"/>
      <c r="D267" s="9"/>
      <c r="E267" s="9"/>
      <c r="F267" s="9"/>
      <c r="G267" s="9"/>
      <c r="H267" s="9"/>
      <c r="I267" s="8"/>
      <c r="J267" s="8"/>
      <c r="K267" s="9"/>
      <c r="L267" s="10" t="str">
        <f aca="false">IF(OR(I267="",J267=""),"",MAX(0,J267-I267))</f>
        <v/>
      </c>
      <c r="M267" s="9"/>
    </row>
    <row r="268" customFormat="false" ht="15" hidden="false" customHeight="true" outlineLevel="0" collapsed="false">
      <c r="A268" s="8"/>
      <c r="B268" s="9"/>
      <c r="C268" s="9"/>
      <c r="D268" s="9"/>
      <c r="E268" s="9"/>
      <c r="F268" s="9"/>
      <c r="G268" s="9"/>
      <c r="H268" s="9"/>
      <c r="I268" s="8"/>
      <c r="J268" s="8"/>
      <c r="K268" s="9"/>
      <c r="L268" s="10" t="str">
        <f aca="false">IF(OR(I268="",J268=""),"",MAX(0,J268-I268))</f>
        <v/>
      </c>
      <c r="M268" s="9"/>
    </row>
    <row r="269" customFormat="false" ht="15" hidden="false" customHeight="true" outlineLevel="0" collapsed="false">
      <c r="A269" s="8"/>
      <c r="B269" s="9"/>
      <c r="C269" s="9"/>
      <c r="D269" s="9"/>
      <c r="E269" s="9"/>
      <c r="F269" s="9"/>
      <c r="G269" s="9"/>
      <c r="H269" s="9"/>
      <c r="I269" s="8"/>
      <c r="J269" s="8"/>
      <c r="K269" s="9"/>
      <c r="L269" s="10" t="str">
        <f aca="false">IF(OR(I269="",J269=""),"",MAX(0,J269-I269))</f>
        <v/>
      </c>
      <c r="M269" s="9"/>
    </row>
    <row r="270" customFormat="false" ht="15" hidden="false" customHeight="true" outlineLevel="0" collapsed="false">
      <c r="A270" s="8"/>
      <c r="B270" s="9"/>
      <c r="C270" s="9"/>
      <c r="D270" s="9"/>
      <c r="E270" s="9"/>
      <c r="F270" s="9"/>
      <c r="G270" s="9"/>
      <c r="H270" s="9"/>
      <c r="I270" s="8"/>
      <c r="J270" s="8"/>
      <c r="K270" s="9"/>
      <c r="L270" s="10" t="str">
        <f aca="false">IF(OR(I270="",J270=""),"",MAX(0,J270-I270))</f>
        <v/>
      </c>
      <c r="M270" s="9"/>
    </row>
    <row r="271" customFormat="false" ht="15" hidden="false" customHeight="true" outlineLevel="0" collapsed="false">
      <c r="A271" s="8"/>
      <c r="B271" s="9"/>
      <c r="C271" s="9"/>
      <c r="D271" s="9"/>
      <c r="E271" s="9"/>
      <c r="F271" s="9"/>
      <c r="G271" s="9"/>
      <c r="H271" s="9"/>
      <c r="I271" s="8"/>
      <c r="J271" s="8"/>
      <c r="K271" s="9"/>
      <c r="L271" s="10" t="str">
        <f aca="false">IF(OR(I271="",J271=""),"",MAX(0,J271-I271))</f>
        <v/>
      </c>
      <c r="M271" s="9"/>
    </row>
    <row r="272" customFormat="false" ht="15" hidden="false" customHeight="true" outlineLevel="0" collapsed="false">
      <c r="A272" s="8"/>
      <c r="B272" s="9"/>
      <c r="C272" s="9"/>
      <c r="D272" s="9"/>
      <c r="E272" s="9"/>
      <c r="F272" s="9"/>
      <c r="G272" s="9"/>
      <c r="H272" s="9"/>
      <c r="I272" s="8"/>
      <c r="J272" s="8"/>
      <c r="K272" s="9"/>
      <c r="L272" s="10" t="str">
        <f aca="false">IF(OR(I272="",J272=""),"",MAX(0,J272-I272))</f>
        <v/>
      </c>
      <c r="M272" s="9"/>
    </row>
    <row r="273" customFormat="false" ht="15" hidden="false" customHeight="true" outlineLevel="0" collapsed="false">
      <c r="A273" s="8"/>
      <c r="B273" s="9"/>
      <c r="C273" s="9"/>
      <c r="D273" s="9"/>
      <c r="E273" s="9"/>
      <c r="F273" s="9"/>
      <c r="G273" s="9"/>
      <c r="H273" s="9"/>
      <c r="I273" s="8"/>
      <c r="J273" s="8"/>
      <c r="K273" s="9"/>
      <c r="L273" s="10" t="str">
        <f aca="false">IF(OR(I273="",J273=""),"",MAX(0,J273-I273))</f>
        <v/>
      </c>
      <c r="M273" s="9"/>
    </row>
    <row r="274" customFormat="false" ht="15" hidden="false" customHeight="true" outlineLevel="0" collapsed="false">
      <c r="A274" s="8"/>
      <c r="B274" s="9"/>
      <c r="C274" s="9"/>
      <c r="D274" s="9"/>
      <c r="E274" s="9"/>
      <c r="F274" s="9"/>
      <c r="G274" s="9"/>
      <c r="H274" s="9"/>
      <c r="I274" s="8"/>
      <c r="J274" s="8"/>
      <c r="K274" s="9"/>
      <c r="L274" s="10" t="str">
        <f aca="false">IF(OR(I274="",J274=""),"",MAX(0,J274-I274))</f>
        <v/>
      </c>
      <c r="M274" s="9"/>
    </row>
    <row r="275" customFormat="false" ht="15" hidden="false" customHeight="true" outlineLevel="0" collapsed="false">
      <c r="A275" s="8"/>
      <c r="B275" s="9"/>
      <c r="C275" s="9"/>
      <c r="D275" s="9"/>
      <c r="E275" s="9"/>
      <c r="F275" s="9"/>
      <c r="G275" s="9"/>
      <c r="H275" s="9"/>
      <c r="I275" s="8"/>
      <c r="J275" s="8"/>
      <c r="K275" s="9"/>
      <c r="L275" s="10" t="str">
        <f aca="false">IF(OR(I275="",J275=""),"",MAX(0,J275-I275))</f>
        <v/>
      </c>
      <c r="M275" s="9"/>
    </row>
    <row r="276" customFormat="false" ht="15" hidden="false" customHeight="true" outlineLevel="0" collapsed="false">
      <c r="A276" s="8"/>
      <c r="B276" s="9"/>
      <c r="C276" s="9"/>
      <c r="D276" s="9"/>
      <c r="E276" s="9"/>
      <c r="F276" s="9"/>
      <c r="G276" s="9"/>
      <c r="H276" s="9"/>
      <c r="I276" s="8"/>
      <c r="J276" s="8"/>
      <c r="K276" s="9"/>
      <c r="L276" s="10" t="str">
        <f aca="false">IF(OR(I276="",J276=""),"",MAX(0,J276-I276))</f>
        <v/>
      </c>
      <c r="M276" s="9"/>
    </row>
    <row r="277" customFormat="false" ht="15" hidden="false" customHeight="true" outlineLevel="0" collapsed="false">
      <c r="A277" s="8"/>
      <c r="B277" s="9"/>
      <c r="C277" s="9"/>
      <c r="D277" s="9"/>
      <c r="E277" s="9"/>
      <c r="F277" s="9"/>
      <c r="G277" s="9"/>
      <c r="H277" s="9"/>
      <c r="I277" s="8"/>
      <c r="J277" s="8"/>
      <c r="K277" s="9"/>
      <c r="L277" s="10" t="str">
        <f aca="false">IF(OR(I277="",J277=""),"",MAX(0,J277-I277))</f>
        <v/>
      </c>
      <c r="M277" s="9"/>
    </row>
    <row r="278" customFormat="false" ht="15" hidden="false" customHeight="true" outlineLevel="0" collapsed="false">
      <c r="A278" s="8"/>
      <c r="B278" s="9"/>
      <c r="C278" s="9"/>
      <c r="D278" s="9"/>
      <c r="E278" s="9"/>
      <c r="F278" s="9"/>
      <c r="G278" s="9"/>
      <c r="H278" s="9"/>
      <c r="I278" s="8"/>
      <c r="J278" s="8"/>
      <c r="K278" s="9"/>
      <c r="L278" s="10" t="str">
        <f aca="false">IF(OR(I278="",J278=""),"",MAX(0,J278-I278))</f>
        <v/>
      </c>
      <c r="M278" s="9"/>
    </row>
    <row r="279" customFormat="false" ht="15" hidden="false" customHeight="true" outlineLevel="0" collapsed="false">
      <c r="A279" s="8"/>
      <c r="B279" s="9"/>
      <c r="C279" s="9"/>
      <c r="D279" s="9"/>
      <c r="E279" s="9"/>
      <c r="F279" s="9"/>
      <c r="G279" s="9"/>
      <c r="H279" s="9"/>
      <c r="I279" s="8"/>
      <c r="J279" s="8"/>
      <c r="K279" s="9"/>
      <c r="L279" s="10" t="str">
        <f aca="false">IF(OR(I279="",J279=""),"",MAX(0,J279-I279))</f>
        <v/>
      </c>
      <c r="M279" s="9"/>
    </row>
    <row r="280" customFormat="false" ht="15" hidden="false" customHeight="true" outlineLevel="0" collapsed="false">
      <c r="A280" s="8"/>
      <c r="B280" s="9"/>
      <c r="C280" s="9"/>
      <c r="D280" s="9"/>
      <c r="E280" s="9"/>
      <c r="F280" s="9"/>
      <c r="G280" s="9"/>
      <c r="H280" s="9"/>
      <c r="I280" s="8"/>
      <c r="J280" s="8"/>
      <c r="K280" s="9"/>
      <c r="L280" s="10" t="str">
        <f aca="false">IF(OR(I280="",J280=""),"",MAX(0,J280-I280))</f>
        <v/>
      </c>
      <c r="M280" s="9"/>
    </row>
    <row r="281" customFormat="false" ht="15" hidden="false" customHeight="true" outlineLevel="0" collapsed="false">
      <c r="A281" s="8"/>
      <c r="B281" s="9"/>
      <c r="C281" s="9"/>
      <c r="D281" s="9"/>
      <c r="E281" s="9"/>
      <c r="F281" s="9"/>
      <c r="G281" s="9"/>
      <c r="H281" s="9"/>
      <c r="I281" s="8"/>
      <c r="J281" s="8"/>
      <c r="K281" s="9"/>
      <c r="L281" s="10" t="str">
        <f aca="false">IF(OR(I281="",J281=""),"",MAX(0,J281-I281))</f>
        <v/>
      </c>
      <c r="M281" s="9"/>
    </row>
    <row r="282" customFormat="false" ht="15" hidden="false" customHeight="true" outlineLevel="0" collapsed="false">
      <c r="A282" s="8"/>
      <c r="B282" s="9"/>
      <c r="C282" s="9"/>
      <c r="D282" s="9"/>
      <c r="E282" s="9"/>
      <c r="F282" s="9"/>
      <c r="G282" s="9"/>
      <c r="H282" s="9"/>
      <c r="I282" s="8"/>
      <c r="J282" s="8"/>
      <c r="K282" s="9"/>
      <c r="L282" s="10" t="str">
        <f aca="false">IF(OR(I282="",J282=""),"",MAX(0,J282-I282))</f>
        <v/>
      </c>
      <c r="M282" s="9"/>
    </row>
    <row r="283" customFormat="false" ht="15" hidden="false" customHeight="true" outlineLevel="0" collapsed="false">
      <c r="A283" s="8"/>
      <c r="B283" s="9"/>
      <c r="C283" s="9"/>
      <c r="D283" s="9"/>
      <c r="E283" s="9"/>
      <c r="F283" s="9"/>
      <c r="G283" s="9"/>
      <c r="H283" s="9"/>
      <c r="I283" s="8"/>
      <c r="J283" s="8"/>
      <c r="K283" s="9"/>
      <c r="L283" s="10" t="str">
        <f aca="false">IF(OR(I283="",J283=""),"",MAX(0,J283-I283))</f>
        <v/>
      </c>
      <c r="M283" s="9"/>
    </row>
    <row r="284" customFormat="false" ht="15" hidden="false" customHeight="true" outlineLevel="0" collapsed="false">
      <c r="A284" s="8"/>
      <c r="B284" s="9"/>
      <c r="C284" s="9"/>
      <c r="D284" s="9"/>
      <c r="E284" s="9"/>
      <c r="F284" s="9"/>
      <c r="G284" s="9"/>
      <c r="H284" s="9"/>
      <c r="I284" s="8"/>
      <c r="J284" s="8"/>
      <c r="K284" s="9"/>
      <c r="L284" s="10" t="str">
        <f aca="false">IF(OR(I284="",J284=""),"",MAX(0,J284-I284))</f>
        <v/>
      </c>
      <c r="M284" s="9"/>
    </row>
    <row r="285" customFormat="false" ht="15" hidden="false" customHeight="true" outlineLevel="0" collapsed="false">
      <c r="A285" s="8"/>
      <c r="B285" s="9"/>
      <c r="C285" s="9"/>
      <c r="D285" s="9"/>
      <c r="E285" s="9"/>
      <c r="F285" s="9"/>
      <c r="G285" s="9"/>
      <c r="H285" s="9"/>
      <c r="I285" s="8"/>
      <c r="J285" s="8"/>
      <c r="K285" s="9"/>
      <c r="L285" s="10" t="str">
        <f aca="false">IF(OR(I285="",J285=""),"",MAX(0,J285-I285))</f>
        <v/>
      </c>
      <c r="M285" s="9"/>
    </row>
    <row r="286" customFormat="false" ht="15" hidden="false" customHeight="true" outlineLevel="0" collapsed="false">
      <c r="A286" s="8"/>
      <c r="B286" s="9"/>
      <c r="C286" s="9"/>
      <c r="D286" s="9"/>
      <c r="E286" s="9"/>
      <c r="F286" s="9"/>
      <c r="G286" s="9"/>
      <c r="H286" s="9"/>
      <c r="I286" s="8"/>
      <c r="J286" s="8"/>
      <c r="K286" s="9"/>
      <c r="L286" s="10" t="str">
        <f aca="false">IF(OR(I286="",J286=""),"",MAX(0,J286-I286))</f>
        <v/>
      </c>
      <c r="M286" s="9"/>
    </row>
    <row r="287" customFormat="false" ht="15" hidden="false" customHeight="true" outlineLevel="0" collapsed="false">
      <c r="A287" s="8"/>
      <c r="B287" s="9"/>
      <c r="C287" s="9"/>
      <c r="D287" s="9"/>
      <c r="E287" s="9"/>
      <c r="F287" s="9"/>
      <c r="G287" s="9"/>
      <c r="H287" s="9"/>
      <c r="I287" s="8"/>
      <c r="J287" s="8"/>
      <c r="K287" s="9"/>
      <c r="L287" s="10" t="str">
        <f aca="false">IF(OR(I287="",J287=""),"",MAX(0,J287-I287))</f>
        <v/>
      </c>
      <c r="M287" s="9"/>
    </row>
    <row r="288" customFormat="false" ht="15" hidden="false" customHeight="true" outlineLevel="0" collapsed="false">
      <c r="A288" s="8"/>
      <c r="B288" s="9"/>
      <c r="C288" s="9"/>
      <c r="D288" s="9"/>
      <c r="E288" s="9"/>
      <c r="F288" s="9"/>
      <c r="G288" s="9"/>
      <c r="H288" s="9"/>
      <c r="I288" s="8"/>
      <c r="J288" s="8"/>
      <c r="K288" s="9"/>
      <c r="L288" s="10" t="str">
        <f aca="false">IF(OR(I288="",J288=""),"",MAX(0,J288-I288))</f>
        <v/>
      </c>
      <c r="M288" s="9"/>
    </row>
    <row r="289" customFormat="false" ht="15" hidden="false" customHeight="true" outlineLevel="0" collapsed="false">
      <c r="A289" s="8"/>
      <c r="B289" s="9"/>
      <c r="C289" s="9"/>
      <c r="D289" s="9"/>
      <c r="E289" s="9"/>
      <c r="F289" s="9"/>
      <c r="G289" s="9"/>
      <c r="H289" s="9"/>
      <c r="I289" s="8"/>
      <c r="J289" s="8"/>
      <c r="K289" s="9"/>
      <c r="L289" s="10" t="str">
        <f aca="false">IF(OR(I289="",J289=""),"",MAX(0,J289-I289))</f>
        <v/>
      </c>
      <c r="M289" s="9"/>
    </row>
    <row r="290" customFormat="false" ht="15" hidden="false" customHeight="true" outlineLevel="0" collapsed="false">
      <c r="A290" s="8"/>
      <c r="B290" s="9"/>
      <c r="C290" s="9"/>
      <c r="D290" s="9"/>
      <c r="E290" s="9"/>
      <c r="F290" s="9"/>
      <c r="G290" s="9"/>
      <c r="H290" s="9"/>
      <c r="I290" s="8"/>
      <c r="J290" s="8"/>
      <c r="K290" s="9"/>
      <c r="L290" s="10" t="str">
        <f aca="false">IF(OR(I290="",J290=""),"",MAX(0,J290-I290))</f>
        <v/>
      </c>
      <c r="M290" s="9"/>
    </row>
    <row r="291" customFormat="false" ht="15" hidden="false" customHeight="true" outlineLevel="0" collapsed="false">
      <c r="A291" s="8"/>
      <c r="B291" s="9"/>
      <c r="C291" s="9"/>
      <c r="D291" s="9"/>
      <c r="E291" s="9"/>
      <c r="F291" s="9"/>
      <c r="G291" s="9"/>
      <c r="H291" s="9"/>
      <c r="I291" s="8"/>
      <c r="J291" s="8"/>
      <c r="K291" s="9"/>
      <c r="L291" s="10" t="str">
        <f aca="false">IF(OR(I291="",J291=""),"",MAX(0,J291-I291))</f>
        <v/>
      </c>
      <c r="M291" s="9"/>
    </row>
    <row r="292" customFormat="false" ht="15" hidden="false" customHeight="true" outlineLevel="0" collapsed="false">
      <c r="A292" s="8"/>
      <c r="B292" s="9"/>
      <c r="C292" s="9"/>
      <c r="D292" s="9"/>
      <c r="E292" s="9"/>
      <c r="F292" s="9"/>
      <c r="G292" s="9"/>
      <c r="H292" s="9"/>
      <c r="I292" s="8"/>
      <c r="J292" s="8"/>
      <c r="K292" s="9"/>
      <c r="L292" s="10" t="str">
        <f aca="false">IF(OR(I292="",J292=""),"",MAX(0,J292-I292))</f>
        <v/>
      </c>
      <c r="M292" s="9"/>
    </row>
    <row r="293" customFormat="false" ht="15" hidden="false" customHeight="true" outlineLevel="0" collapsed="false">
      <c r="A293" s="8"/>
      <c r="B293" s="9"/>
      <c r="C293" s="9"/>
      <c r="D293" s="9"/>
      <c r="E293" s="9"/>
      <c r="F293" s="9"/>
      <c r="G293" s="9"/>
      <c r="H293" s="9"/>
      <c r="I293" s="8"/>
      <c r="J293" s="8"/>
      <c r="K293" s="9"/>
      <c r="L293" s="10" t="str">
        <f aca="false">IF(OR(I293="",J293=""),"",MAX(0,J293-I293))</f>
        <v/>
      </c>
      <c r="M293" s="9"/>
    </row>
    <row r="294" customFormat="false" ht="15" hidden="false" customHeight="true" outlineLevel="0" collapsed="false">
      <c r="A294" s="8"/>
      <c r="B294" s="9"/>
      <c r="C294" s="9"/>
      <c r="D294" s="9"/>
      <c r="E294" s="9"/>
      <c r="F294" s="9"/>
      <c r="G294" s="9"/>
      <c r="H294" s="9"/>
      <c r="I294" s="8"/>
      <c r="J294" s="8"/>
      <c r="K294" s="9"/>
      <c r="L294" s="10" t="str">
        <f aca="false">IF(OR(I294="",J294=""),"",MAX(0,J294-I294))</f>
        <v/>
      </c>
      <c r="M294" s="9"/>
    </row>
    <row r="295" customFormat="false" ht="15" hidden="false" customHeight="true" outlineLevel="0" collapsed="false">
      <c r="A295" s="8"/>
      <c r="B295" s="9"/>
      <c r="C295" s="9"/>
      <c r="D295" s="9"/>
      <c r="E295" s="9"/>
      <c r="F295" s="9"/>
      <c r="G295" s="9"/>
      <c r="H295" s="9"/>
      <c r="I295" s="8"/>
      <c r="J295" s="8"/>
      <c r="K295" s="9"/>
      <c r="L295" s="10" t="str">
        <f aca="false">IF(OR(I295="",J295=""),"",MAX(0,J295-I295))</f>
        <v/>
      </c>
      <c r="M295" s="9"/>
    </row>
    <row r="296" customFormat="false" ht="15" hidden="false" customHeight="true" outlineLevel="0" collapsed="false">
      <c r="A296" s="8"/>
      <c r="B296" s="9"/>
      <c r="C296" s="9"/>
      <c r="D296" s="9"/>
      <c r="E296" s="9"/>
      <c r="F296" s="9"/>
      <c r="G296" s="9"/>
      <c r="H296" s="9"/>
      <c r="I296" s="8"/>
      <c r="J296" s="8"/>
      <c r="K296" s="9"/>
      <c r="L296" s="10" t="str">
        <f aca="false">IF(OR(I296="",J296=""),"",MAX(0,J296-I296))</f>
        <v/>
      </c>
      <c r="M296" s="9"/>
    </row>
    <row r="297" customFormat="false" ht="15" hidden="false" customHeight="true" outlineLevel="0" collapsed="false">
      <c r="A297" s="8"/>
      <c r="B297" s="9"/>
      <c r="C297" s="9"/>
      <c r="D297" s="9"/>
      <c r="E297" s="9"/>
      <c r="F297" s="9"/>
      <c r="G297" s="9"/>
      <c r="H297" s="9"/>
      <c r="I297" s="8"/>
      <c r="J297" s="8"/>
      <c r="K297" s="9"/>
      <c r="L297" s="10" t="str">
        <f aca="false">IF(OR(I297="",J297=""),"",MAX(0,J297-I297))</f>
        <v/>
      </c>
      <c r="M297" s="9"/>
    </row>
    <row r="298" customFormat="false" ht="15" hidden="false" customHeight="true" outlineLevel="0" collapsed="false">
      <c r="A298" s="8"/>
      <c r="B298" s="9"/>
      <c r="C298" s="9"/>
      <c r="D298" s="9"/>
      <c r="E298" s="9"/>
      <c r="F298" s="9"/>
      <c r="G298" s="9"/>
      <c r="H298" s="9"/>
      <c r="I298" s="8"/>
      <c r="J298" s="8"/>
      <c r="K298" s="9"/>
      <c r="L298" s="10" t="str">
        <f aca="false">IF(OR(I298="",J298=""),"",MAX(0,J298-I298))</f>
        <v/>
      </c>
      <c r="M298" s="9"/>
    </row>
    <row r="299" customFormat="false" ht="15" hidden="false" customHeight="true" outlineLevel="0" collapsed="false">
      <c r="A299" s="8"/>
      <c r="B299" s="9"/>
      <c r="C299" s="9"/>
      <c r="D299" s="9"/>
      <c r="E299" s="9"/>
      <c r="F299" s="9"/>
      <c r="G299" s="9"/>
      <c r="H299" s="9"/>
      <c r="I299" s="8"/>
      <c r="J299" s="8"/>
      <c r="K299" s="9"/>
      <c r="L299" s="10" t="str">
        <f aca="false">IF(OR(I299="",J299=""),"",MAX(0,J299-I299))</f>
        <v/>
      </c>
      <c r="M299" s="9"/>
    </row>
    <row r="300" customFormat="false" ht="15" hidden="false" customHeight="true" outlineLevel="0" collapsed="false">
      <c r="A300" s="8"/>
      <c r="B300" s="9"/>
      <c r="C300" s="9"/>
      <c r="D300" s="9"/>
      <c r="E300" s="9"/>
      <c r="F300" s="9"/>
      <c r="G300" s="9"/>
      <c r="H300" s="9"/>
      <c r="I300" s="8"/>
      <c r="J300" s="8"/>
      <c r="K300" s="9"/>
      <c r="L300" s="10" t="str">
        <f aca="false">IF(OR(I300="",J300=""),"",MAX(0,J300-I300))</f>
        <v/>
      </c>
      <c r="M300" s="9"/>
    </row>
    <row r="301" customFormat="false" ht="15" hidden="false" customHeight="true" outlineLevel="0" collapsed="false">
      <c r="A301" s="8"/>
      <c r="B301" s="9"/>
      <c r="C301" s="9"/>
      <c r="D301" s="9"/>
      <c r="E301" s="9"/>
      <c r="F301" s="9"/>
      <c r="G301" s="9"/>
      <c r="H301" s="9"/>
      <c r="I301" s="8"/>
      <c r="J301" s="8"/>
      <c r="K301" s="9"/>
      <c r="L301" s="10" t="str">
        <f aca="false">IF(OR(I301="",J301=""),"",MAX(0,J301-I301))</f>
        <v/>
      </c>
      <c r="M301" s="9"/>
    </row>
    <row r="302" customFormat="false" ht="15" hidden="false" customHeight="true" outlineLevel="0" collapsed="false">
      <c r="A302" s="8"/>
      <c r="B302" s="9"/>
      <c r="C302" s="9"/>
      <c r="D302" s="9"/>
      <c r="E302" s="9"/>
      <c r="F302" s="9"/>
      <c r="G302" s="9"/>
      <c r="H302" s="9"/>
      <c r="I302" s="8"/>
      <c r="J302" s="8"/>
      <c r="K302" s="9"/>
      <c r="L302" s="10" t="str">
        <f aca="false">IF(OR(I302="",J302=""),"",MAX(0,J302-I302))</f>
        <v/>
      </c>
      <c r="M302" s="9"/>
    </row>
    <row r="303" customFormat="false" ht="15" hidden="false" customHeight="true" outlineLevel="0" collapsed="false">
      <c r="A303" s="8"/>
      <c r="B303" s="9"/>
      <c r="C303" s="9"/>
      <c r="D303" s="9"/>
      <c r="E303" s="9"/>
      <c r="F303" s="9"/>
      <c r="G303" s="9"/>
      <c r="H303" s="9"/>
      <c r="I303" s="8"/>
      <c r="J303" s="8"/>
      <c r="K303" s="9"/>
      <c r="L303" s="10" t="str">
        <f aca="false">IF(OR(I303="",J303=""),"",MAX(0,J303-I303))</f>
        <v/>
      </c>
      <c r="M303" s="9"/>
    </row>
    <row r="304" customFormat="false" ht="15" hidden="false" customHeight="true" outlineLevel="0" collapsed="false">
      <c r="A304" s="8"/>
      <c r="B304" s="9"/>
      <c r="C304" s="9"/>
      <c r="D304" s="9"/>
      <c r="E304" s="9"/>
      <c r="F304" s="9"/>
      <c r="G304" s="9"/>
      <c r="H304" s="9"/>
      <c r="I304" s="8"/>
      <c r="J304" s="8"/>
      <c r="K304" s="9"/>
      <c r="L304" s="10" t="str">
        <f aca="false">IF(OR(I304="",J304=""),"",MAX(0,J304-I304))</f>
        <v/>
      </c>
      <c r="M304" s="9"/>
    </row>
    <row r="305" customFormat="false" ht="15" hidden="false" customHeight="true" outlineLevel="0" collapsed="false">
      <c r="A305" s="8"/>
      <c r="B305" s="9"/>
      <c r="C305" s="9"/>
      <c r="D305" s="9"/>
      <c r="E305" s="9"/>
      <c r="F305" s="9"/>
      <c r="G305" s="9"/>
      <c r="H305" s="9"/>
      <c r="I305" s="8"/>
      <c r="J305" s="8"/>
      <c r="K305" s="9"/>
      <c r="L305" s="10" t="str">
        <f aca="false">IF(OR(I305="",J305=""),"",MAX(0,J305-I305))</f>
        <v/>
      </c>
      <c r="M305" s="9"/>
    </row>
    <row r="306" customFormat="false" ht="15" hidden="false" customHeight="true" outlineLevel="0" collapsed="false">
      <c r="A306" s="8"/>
      <c r="B306" s="9"/>
      <c r="C306" s="9"/>
      <c r="D306" s="9"/>
      <c r="E306" s="9"/>
      <c r="F306" s="9"/>
      <c r="G306" s="9"/>
      <c r="H306" s="9"/>
      <c r="I306" s="8"/>
      <c r="J306" s="8"/>
      <c r="K306" s="9"/>
      <c r="L306" s="10" t="str">
        <f aca="false">IF(OR(I306="",J306=""),"",MAX(0,J306-I306))</f>
        <v/>
      </c>
      <c r="M306" s="9"/>
    </row>
    <row r="307" customFormat="false" ht="15" hidden="false" customHeight="true" outlineLevel="0" collapsed="false">
      <c r="A307" s="8"/>
      <c r="B307" s="9"/>
      <c r="C307" s="9"/>
      <c r="D307" s="9"/>
      <c r="E307" s="9"/>
      <c r="F307" s="9"/>
      <c r="G307" s="9"/>
      <c r="H307" s="9"/>
      <c r="I307" s="8"/>
      <c r="J307" s="8"/>
      <c r="K307" s="9"/>
      <c r="L307" s="10" t="str">
        <f aca="false">IF(OR(I307="",J307=""),"",MAX(0,J307-I307))</f>
        <v/>
      </c>
      <c r="M307" s="9"/>
    </row>
    <row r="308" customFormat="false" ht="15" hidden="false" customHeight="true" outlineLevel="0" collapsed="false">
      <c r="A308" s="8"/>
      <c r="B308" s="9"/>
      <c r="C308" s="9"/>
      <c r="D308" s="9"/>
      <c r="E308" s="9"/>
      <c r="F308" s="9"/>
      <c r="G308" s="9"/>
      <c r="H308" s="9"/>
      <c r="I308" s="8"/>
      <c r="J308" s="8"/>
      <c r="K308" s="9"/>
      <c r="L308" s="10" t="str">
        <f aca="false">IF(OR(I308="",J308=""),"",MAX(0,J308-I308))</f>
        <v/>
      </c>
      <c r="M308" s="9"/>
    </row>
    <row r="309" customFormat="false" ht="15" hidden="false" customHeight="true" outlineLevel="0" collapsed="false">
      <c r="A309" s="8"/>
      <c r="B309" s="9"/>
      <c r="C309" s="9"/>
      <c r="D309" s="9"/>
      <c r="E309" s="9"/>
      <c r="F309" s="9"/>
      <c r="G309" s="9"/>
      <c r="H309" s="9"/>
      <c r="I309" s="8"/>
      <c r="J309" s="8"/>
      <c r="K309" s="9"/>
      <c r="L309" s="10" t="str">
        <f aca="false">IF(OR(I309="",J309=""),"",MAX(0,J309-I309))</f>
        <v/>
      </c>
      <c r="M309" s="9"/>
    </row>
    <row r="310" customFormat="false" ht="15" hidden="false" customHeight="true" outlineLevel="0" collapsed="false">
      <c r="A310" s="8"/>
      <c r="B310" s="9"/>
      <c r="C310" s="9"/>
      <c r="D310" s="9"/>
      <c r="E310" s="9"/>
      <c r="F310" s="9"/>
      <c r="G310" s="9"/>
      <c r="H310" s="9"/>
      <c r="I310" s="8"/>
      <c r="J310" s="8"/>
      <c r="K310" s="9"/>
      <c r="L310" s="10" t="str">
        <f aca="false">IF(OR(I310="",J310=""),"",MAX(0,J310-I310))</f>
        <v/>
      </c>
      <c r="M310" s="9"/>
    </row>
    <row r="311" customFormat="false" ht="15" hidden="false" customHeight="true" outlineLevel="0" collapsed="false">
      <c r="A311" s="8"/>
      <c r="B311" s="9"/>
      <c r="C311" s="9"/>
      <c r="D311" s="9"/>
      <c r="E311" s="9"/>
      <c r="F311" s="9"/>
      <c r="G311" s="9"/>
      <c r="H311" s="9"/>
      <c r="I311" s="8"/>
      <c r="J311" s="8"/>
      <c r="K311" s="9"/>
      <c r="L311" s="10" t="str">
        <f aca="false">IF(OR(I311="",J311=""),"",MAX(0,J311-I311))</f>
        <v/>
      </c>
      <c r="M311" s="9"/>
    </row>
    <row r="312" customFormat="false" ht="15" hidden="false" customHeight="true" outlineLevel="0" collapsed="false">
      <c r="A312" s="8"/>
      <c r="B312" s="9"/>
      <c r="C312" s="9"/>
      <c r="D312" s="9"/>
      <c r="E312" s="9"/>
      <c r="F312" s="9"/>
      <c r="G312" s="9"/>
      <c r="H312" s="9"/>
      <c r="I312" s="8"/>
      <c r="J312" s="8"/>
      <c r="K312" s="9"/>
      <c r="L312" s="10" t="str">
        <f aca="false">IF(OR(I312="",J312=""),"",MAX(0,J312-I312))</f>
        <v/>
      </c>
      <c r="M312" s="9"/>
    </row>
    <row r="313" customFormat="false" ht="15" hidden="false" customHeight="true" outlineLevel="0" collapsed="false">
      <c r="A313" s="8"/>
      <c r="B313" s="9"/>
      <c r="C313" s="9"/>
      <c r="D313" s="9"/>
      <c r="E313" s="9"/>
      <c r="F313" s="9"/>
      <c r="G313" s="9"/>
      <c r="H313" s="9"/>
      <c r="I313" s="8"/>
      <c r="J313" s="8"/>
      <c r="K313" s="9"/>
      <c r="L313" s="10" t="str">
        <f aca="false">IF(OR(I313="",J313=""),"",MAX(0,J313-I313))</f>
        <v/>
      </c>
      <c r="M313" s="9"/>
    </row>
    <row r="314" customFormat="false" ht="15" hidden="false" customHeight="true" outlineLevel="0" collapsed="false">
      <c r="A314" s="8"/>
      <c r="B314" s="9"/>
      <c r="C314" s="9"/>
      <c r="D314" s="9"/>
      <c r="E314" s="9"/>
      <c r="F314" s="9"/>
      <c r="G314" s="9"/>
      <c r="H314" s="9"/>
      <c r="I314" s="8"/>
      <c r="J314" s="8"/>
      <c r="K314" s="9"/>
      <c r="L314" s="10" t="str">
        <f aca="false">IF(OR(I314="",J314=""),"",MAX(0,J314-I314))</f>
        <v/>
      </c>
      <c r="M314" s="9"/>
    </row>
    <row r="315" customFormat="false" ht="15" hidden="false" customHeight="true" outlineLevel="0" collapsed="false">
      <c r="A315" s="8"/>
      <c r="B315" s="9"/>
      <c r="C315" s="9"/>
      <c r="D315" s="9"/>
      <c r="E315" s="9"/>
      <c r="F315" s="9"/>
      <c r="G315" s="9"/>
      <c r="H315" s="9"/>
      <c r="I315" s="8"/>
      <c r="J315" s="8"/>
      <c r="K315" s="9"/>
      <c r="L315" s="10" t="str">
        <f aca="false">IF(OR(I315="",J315=""),"",MAX(0,J315-I315))</f>
        <v/>
      </c>
      <c r="M315" s="9"/>
    </row>
    <row r="316" customFormat="false" ht="15" hidden="false" customHeight="true" outlineLevel="0" collapsed="false">
      <c r="A316" s="8"/>
      <c r="B316" s="9"/>
      <c r="C316" s="9"/>
      <c r="D316" s="9"/>
      <c r="E316" s="9"/>
      <c r="F316" s="9"/>
      <c r="G316" s="9"/>
      <c r="H316" s="9"/>
      <c r="I316" s="8"/>
      <c r="J316" s="8"/>
      <c r="K316" s="9"/>
      <c r="L316" s="10" t="str">
        <f aca="false">IF(OR(I316="",J316=""),"",MAX(0,J316-I316))</f>
        <v/>
      </c>
      <c r="M316" s="9"/>
    </row>
    <row r="317" customFormat="false" ht="15" hidden="false" customHeight="true" outlineLevel="0" collapsed="false">
      <c r="A317" s="8"/>
      <c r="B317" s="9"/>
      <c r="C317" s="9"/>
      <c r="D317" s="9"/>
      <c r="E317" s="9"/>
      <c r="F317" s="9"/>
      <c r="G317" s="9"/>
      <c r="H317" s="9"/>
      <c r="I317" s="8"/>
      <c r="J317" s="8"/>
      <c r="K317" s="9"/>
      <c r="L317" s="10" t="str">
        <f aca="false">IF(OR(I317="",J317=""),"",MAX(0,J317-I317))</f>
        <v/>
      </c>
      <c r="M317" s="9"/>
    </row>
    <row r="318" customFormat="false" ht="15" hidden="false" customHeight="true" outlineLevel="0" collapsed="false">
      <c r="A318" s="8"/>
      <c r="B318" s="9"/>
      <c r="C318" s="9"/>
      <c r="D318" s="9"/>
      <c r="E318" s="9"/>
      <c r="F318" s="9"/>
      <c r="G318" s="9"/>
      <c r="H318" s="9"/>
      <c r="I318" s="8"/>
      <c r="J318" s="8"/>
      <c r="K318" s="9"/>
      <c r="L318" s="10" t="str">
        <f aca="false">IF(OR(I318="",J318=""),"",MAX(0,J318-I318))</f>
        <v/>
      </c>
      <c r="M318" s="9"/>
    </row>
    <row r="319" customFormat="false" ht="15" hidden="false" customHeight="true" outlineLevel="0" collapsed="false">
      <c r="A319" s="8"/>
      <c r="B319" s="9"/>
      <c r="C319" s="9"/>
      <c r="D319" s="9"/>
      <c r="E319" s="9"/>
      <c r="F319" s="9"/>
      <c r="G319" s="9"/>
      <c r="H319" s="9"/>
      <c r="I319" s="8"/>
      <c r="J319" s="8"/>
      <c r="K319" s="9"/>
      <c r="L319" s="10" t="str">
        <f aca="false">IF(OR(I319="",J319=""),"",MAX(0,J319-I319))</f>
        <v/>
      </c>
      <c r="M319" s="9"/>
    </row>
    <row r="320" customFormat="false" ht="15" hidden="false" customHeight="true" outlineLevel="0" collapsed="false">
      <c r="A320" s="8"/>
      <c r="B320" s="9"/>
      <c r="C320" s="9"/>
      <c r="D320" s="9"/>
      <c r="E320" s="9"/>
      <c r="F320" s="9"/>
      <c r="G320" s="9"/>
      <c r="H320" s="9"/>
      <c r="I320" s="8"/>
      <c r="J320" s="8"/>
      <c r="K320" s="9"/>
      <c r="L320" s="10" t="str">
        <f aca="false">IF(OR(I320="",J320=""),"",MAX(0,J320-I320))</f>
        <v/>
      </c>
      <c r="M320" s="9"/>
    </row>
    <row r="321" customFormat="false" ht="15" hidden="false" customHeight="true" outlineLevel="0" collapsed="false">
      <c r="A321" s="8"/>
      <c r="B321" s="9"/>
      <c r="C321" s="9"/>
      <c r="D321" s="9"/>
      <c r="E321" s="9"/>
      <c r="F321" s="9"/>
      <c r="G321" s="9"/>
      <c r="H321" s="9"/>
      <c r="I321" s="8"/>
      <c r="J321" s="8"/>
      <c r="K321" s="9"/>
      <c r="L321" s="10" t="str">
        <f aca="false">IF(OR(I321="",J321=""),"",MAX(0,J321-I321))</f>
        <v/>
      </c>
      <c r="M321" s="9"/>
    </row>
    <row r="322" customFormat="false" ht="15" hidden="false" customHeight="true" outlineLevel="0" collapsed="false">
      <c r="A322" s="8"/>
      <c r="B322" s="9"/>
      <c r="C322" s="9"/>
      <c r="D322" s="9"/>
      <c r="E322" s="9"/>
      <c r="F322" s="9"/>
      <c r="G322" s="9"/>
      <c r="H322" s="9"/>
      <c r="I322" s="8"/>
      <c r="J322" s="8"/>
      <c r="K322" s="9"/>
      <c r="L322" s="10" t="str">
        <f aca="false">IF(OR(I322="",J322=""),"",MAX(0,J322-I322))</f>
        <v/>
      </c>
      <c r="M322" s="9"/>
    </row>
    <row r="323" customFormat="false" ht="15" hidden="false" customHeight="true" outlineLevel="0" collapsed="false">
      <c r="A323" s="8"/>
      <c r="B323" s="9"/>
      <c r="C323" s="9"/>
      <c r="D323" s="9"/>
      <c r="E323" s="9"/>
      <c r="F323" s="9"/>
      <c r="G323" s="9"/>
      <c r="H323" s="9"/>
      <c r="I323" s="8"/>
      <c r="J323" s="8"/>
      <c r="K323" s="9"/>
      <c r="L323" s="10" t="str">
        <f aca="false">IF(OR(I323="",J323=""),"",MAX(0,J323-I323))</f>
        <v/>
      </c>
      <c r="M323" s="9"/>
    </row>
    <row r="324" customFormat="false" ht="15" hidden="false" customHeight="true" outlineLevel="0" collapsed="false">
      <c r="A324" s="8"/>
      <c r="B324" s="9"/>
      <c r="C324" s="9"/>
      <c r="D324" s="9"/>
      <c r="E324" s="9"/>
      <c r="F324" s="9"/>
      <c r="G324" s="9"/>
      <c r="H324" s="9"/>
      <c r="I324" s="8"/>
      <c r="J324" s="8"/>
      <c r="K324" s="9"/>
      <c r="L324" s="10" t="str">
        <f aca="false">IF(OR(I324="",J324=""),"",MAX(0,J324-I324))</f>
        <v/>
      </c>
      <c r="M324" s="9"/>
    </row>
    <row r="325" customFormat="false" ht="15" hidden="false" customHeight="true" outlineLevel="0" collapsed="false">
      <c r="A325" s="8"/>
      <c r="B325" s="9"/>
      <c r="C325" s="9"/>
      <c r="D325" s="9"/>
      <c r="E325" s="9"/>
      <c r="F325" s="9"/>
      <c r="G325" s="9"/>
      <c r="H325" s="9"/>
      <c r="I325" s="8"/>
      <c r="J325" s="8"/>
      <c r="K325" s="9"/>
      <c r="L325" s="10" t="str">
        <f aca="false">IF(OR(I325="",J325=""),"",MAX(0,J325-I325))</f>
        <v/>
      </c>
      <c r="M325" s="9"/>
    </row>
    <row r="326" customFormat="false" ht="15" hidden="false" customHeight="true" outlineLevel="0" collapsed="false">
      <c r="A326" s="8"/>
      <c r="B326" s="9"/>
      <c r="C326" s="9"/>
      <c r="D326" s="9"/>
      <c r="E326" s="9"/>
      <c r="F326" s="9"/>
      <c r="G326" s="9"/>
      <c r="H326" s="9"/>
      <c r="I326" s="8"/>
      <c r="J326" s="8"/>
      <c r="K326" s="9"/>
      <c r="L326" s="10" t="str">
        <f aca="false">IF(OR(I326="",J326=""),"",MAX(0,J326-I326))</f>
        <v/>
      </c>
      <c r="M326" s="9"/>
    </row>
    <row r="327" customFormat="false" ht="15" hidden="false" customHeight="true" outlineLevel="0" collapsed="false">
      <c r="A327" s="8"/>
      <c r="B327" s="9"/>
      <c r="C327" s="9"/>
      <c r="D327" s="9"/>
      <c r="E327" s="9"/>
      <c r="F327" s="9"/>
      <c r="G327" s="9"/>
      <c r="H327" s="9"/>
      <c r="I327" s="8"/>
      <c r="J327" s="8"/>
      <c r="K327" s="9"/>
      <c r="L327" s="10" t="str">
        <f aca="false">IF(OR(I327="",J327=""),"",MAX(0,J327-I327))</f>
        <v/>
      </c>
      <c r="M327" s="9"/>
    </row>
    <row r="328" customFormat="false" ht="15" hidden="false" customHeight="true" outlineLevel="0" collapsed="false">
      <c r="A328" s="8"/>
      <c r="B328" s="9"/>
      <c r="C328" s="9"/>
      <c r="D328" s="9"/>
      <c r="E328" s="9"/>
      <c r="F328" s="9"/>
      <c r="G328" s="9"/>
      <c r="H328" s="9"/>
      <c r="I328" s="8"/>
      <c r="J328" s="8"/>
      <c r="K328" s="9"/>
      <c r="L328" s="10" t="str">
        <f aca="false">IF(OR(I328="",J328=""),"",MAX(0,J328-I328))</f>
        <v/>
      </c>
      <c r="M328" s="9"/>
    </row>
    <row r="329" customFormat="false" ht="15" hidden="false" customHeight="true" outlineLevel="0" collapsed="false">
      <c r="A329" s="8"/>
      <c r="B329" s="9"/>
      <c r="C329" s="9"/>
      <c r="D329" s="9"/>
      <c r="E329" s="9"/>
      <c r="F329" s="9"/>
      <c r="G329" s="9"/>
      <c r="H329" s="9"/>
      <c r="I329" s="8"/>
      <c r="J329" s="8"/>
      <c r="K329" s="9"/>
      <c r="L329" s="10" t="str">
        <f aca="false">IF(OR(I329="",J329=""),"",MAX(0,J329-I329))</f>
        <v/>
      </c>
      <c r="M329" s="9"/>
    </row>
    <row r="330" customFormat="false" ht="15" hidden="false" customHeight="true" outlineLevel="0" collapsed="false">
      <c r="A330" s="8"/>
      <c r="B330" s="9"/>
      <c r="C330" s="9"/>
      <c r="D330" s="9"/>
      <c r="E330" s="9"/>
      <c r="F330" s="9"/>
      <c r="G330" s="9"/>
      <c r="H330" s="9"/>
      <c r="I330" s="8"/>
      <c r="J330" s="8"/>
      <c r="K330" s="9"/>
      <c r="L330" s="10" t="str">
        <f aca="false">IF(OR(I330="",J330=""),"",MAX(0,J330-I330))</f>
        <v/>
      </c>
      <c r="M330" s="9"/>
    </row>
    <row r="331" customFormat="false" ht="15" hidden="false" customHeight="true" outlineLevel="0" collapsed="false">
      <c r="A331" s="8"/>
      <c r="B331" s="9"/>
      <c r="C331" s="9"/>
      <c r="D331" s="9"/>
      <c r="E331" s="9"/>
      <c r="F331" s="9"/>
      <c r="G331" s="9"/>
      <c r="H331" s="9"/>
      <c r="I331" s="8"/>
      <c r="J331" s="8"/>
      <c r="K331" s="9"/>
      <c r="L331" s="10" t="str">
        <f aca="false">IF(OR(I331="",J331=""),"",MAX(0,J331-I331))</f>
        <v/>
      </c>
      <c r="M331" s="9"/>
    </row>
    <row r="332" customFormat="false" ht="15" hidden="false" customHeight="true" outlineLevel="0" collapsed="false">
      <c r="A332" s="8"/>
      <c r="B332" s="9"/>
      <c r="C332" s="9"/>
      <c r="D332" s="9"/>
      <c r="E332" s="9"/>
      <c r="F332" s="9"/>
      <c r="G332" s="9"/>
      <c r="H332" s="9"/>
      <c r="I332" s="8"/>
      <c r="J332" s="8"/>
      <c r="K332" s="9"/>
      <c r="L332" s="10" t="str">
        <f aca="false">IF(OR(I332="",J332=""),"",MAX(0,J332-I332))</f>
        <v/>
      </c>
      <c r="M332" s="9"/>
    </row>
    <row r="333" customFormat="false" ht="15" hidden="false" customHeight="true" outlineLevel="0" collapsed="false">
      <c r="A333" s="8"/>
      <c r="B333" s="9"/>
      <c r="C333" s="9"/>
      <c r="D333" s="9"/>
      <c r="E333" s="9"/>
      <c r="F333" s="9"/>
      <c r="G333" s="9"/>
      <c r="H333" s="9"/>
      <c r="I333" s="8"/>
      <c r="J333" s="8"/>
      <c r="K333" s="9"/>
      <c r="L333" s="10" t="str">
        <f aca="false">IF(OR(I333="",J333=""),"",MAX(0,J333-I333))</f>
        <v/>
      </c>
      <c r="M333" s="9"/>
    </row>
    <row r="334" customFormat="false" ht="15" hidden="false" customHeight="true" outlineLevel="0" collapsed="false">
      <c r="A334" s="8"/>
      <c r="B334" s="9"/>
      <c r="C334" s="9"/>
      <c r="D334" s="9"/>
      <c r="E334" s="9"/>
      <c r="F334" s="9"/>
      <c r="G334" s="9"/>
      <c r="H334" s="9"/>
      <c r="I334" s="8"/>
      <c r="J334" s="8"/>
      <c r="K334" s="9"/>
      <c r="L334" s="10" t="str">
        <f aca="false">IF(OR(I334="",J334=""),"",MAX(0,J334-I334))</f>
        <v/>
      </c>
      <c r="M334" s="9"/>
    </row>
    <row r="335" customFormat="false" ht="15" hidden="false" customHeight="true" outlineLevel="0" collapsed="false">
      <c r="A335" s="8"/>
      <c r="B335" s="9"/>
      <c r="C335" s="9"/>
      <c r="D335" s="9"/>
      <c r="E335" s="9"/>
      <c r="F335" s="9"/>
      <c r="G335" s="9"/>
      <c r="H335" s="9"/>
      <c r="I335" s="8"/>
      <c r="J335" s="8"/>
      <c r="K335" s="9"/>
      <c r="L335" s="10" t="str">
        <f aca="false">IF(OR(I335="",J335=""),"",MAX(0,J335-I335))</f>
        <v/>
      </c>
      <c r="M335" s="9"/>
    </row>
    <row r="336" customFormat="false" ht="15" hidden="false" customHeight="true" outlineLevel="0" collapsed="false">
      <c r="A336" s="8"/>
      <c r="B336" s="9"/>
      <c r="C336" s="9"/>
      <c r="D336" s="9"/>
      <c r="E336" s="9"/>
      <c r="F336" s="9"/>
      <c r="G336" s="9"/>
      <c r="H336" s="9"/>
      <c r="I336" s="8"/>
      <c r="J336" s="8"/>
      <c r="K336" s="9"/>
      <c r="L336" s="10" t="str">
        <f aca="false">IF(OR(I336="",J336=""),"",MAX(0,J336-I336))</f>
        <v/>
      </c>
      <c r="M336" s="9"/>
    </row>
    <row r="337" customFormat="false" ht="15" hidden="false" customHeight="true" outlineLevel="0" collapsed="false">
      <c r="A337" s="8"/>
      <c r="B337" s="9"/>
      <c r="C337" s="9"/>
      <c r="D337" s="9"/>
      <c r="E337" s="9"/>
      <c r="F337" s="9"/>
      <c r="G337" s="9"/>
      <c r="H337" s="9"/>
      <c r="I337" s="8"/>
      <c r="J337" s="8"/>
      <c r="K337" s="9"/>
      <c r="L337" s="10" t="str">
        <f aca="false">IF(OR(I337="",J337=""),"",MAX(0,J337-I337))</f>
        <v/>
      </c>
      <c r="M337" s="9"/>
    </row>
    <row r="338" customFormat="false" ht="15" hidden="false" customHeight="true" outlineLevel="0" collapsed="false">
      <c r="A338" s="8"/>
      <c r="B338" s="9"/>
      <c r="C338" s="9"/>
      <c r="D338" s="9"/>
      <c r="E338" s="9"/>
      <c r="F338" s="9"/>
      <c r="G338" s="9"/>
      <c r="H338" s="9"/>
      <c r="I338" s="8"/>
      <c r="J338" s="8"/>
      <c r="K338" s="9"/>
      <c r="L338" s="10" t="str">
        <f aca="false">IF(OR(I338="",J338=""),"",MAX(0,J338-I338))</f>
        <v/>
      </c>
      <c r="M338" s="9"/>
    </row>
    <row r="339" customFormat="false" ht="15" hidden="false" customHeight="true" outlineLevel="0" collapsed="false">
      <c r="A339" s="8"/>
      <c r="B339" s="9"/>
      <c r="C339" s="9"/>
      <c r="D339" s="9"/>
      <c r="E339" s="9"/>
      <c r="F339" s="9"/>
      <c r="G339" s="9"/>
      <c r="H339" s="9"/>
      <c r="I339" s="8"/>
      <c r="J339" s="8"/>
      <c r="K339" s="9"/>
      <c r="L339" s="10" t="str">
        <f aca="false">IF(OR(I339="",J339=""),"",MAX(0,J339-I339))</f>
        <v/>
      </c>
      <c r="M339" s="9"/>
    </row>
    <row r="340" customFormat="false" ht="15" hidden="false" customHeight="true" outlineLevel="0" collapsed="false">
      <c r="A340" s="8"/>
      <c r="B340" s="9"/>
      <c r="C340" s="9"/>
      <c r="D340" s="9"/>
      <c r="E340" s="9"/>
      <c r="F340" s="9"/>
      <c r="G340" s="9"/>
      <c r="H340" s="9"/>
      <c r="I340" s="8"/>
      <c r="J340" s="8"/>
      <c r="K340" s="9"/>
      <c r="L340" s="10" t="str">
        <f aca="false">IF(OR(I340="",J340=""),"",MAX(0,J340-I340))</f>
        <v/>
      </c>
      <c r="M340" s="9"/>
    </row>
    <row r="341" customFormat="false" ht="15" hidden="false" customHeight="true" outlineLevel="0" collapsed="false">
      <c r="A341" s="8"/>
      <c r="B341" s="9"/>
      <c r="C341" s="9"/>
      <c r="D341" s="9"/>
      <c r="E341" s="9"/>
      <c r="F341" s="9"/>
      <c r="G341" s="9"/>
      <c r="H341" s="9"/>
      <c r="I341" s="8"/>
      <c r="J341" s="8"/>
      <c r="K341" s="9"/>
      <c r="L341" s="10" t="str">
        <f aca="false">IF(OR(I341="",J341=""),"",MAX(0,J341-I341))</f>
        <v/>
      </c>
      <c r="M341" s="9"/>
    </row>
    <row r="342" customFormat="false" ht="15" hidden="false" customHeight="true" outlineLevel="0" collapsed="false">
      <c r="A342" s="8"/>
      <c r="B342" s="9"/>
      <c r="C342" s="9"/>
      <c r="D342" s="9"/>
      <c r="E342" s="9"/>
      <c r="F342" s="9"/>
      <c r="G342" s="9"/>
      <c r="H342" s="9"/>
      <c r="I342" s="8"/>
      <c r="J342" s="8"/>
      <c r="K342" s="9"/>
      <c r="L342" s="10" t="str">
        <f aca="false">IF(OR(I342="",J342=""),"",MAX(0,J342-I342))</f>
        <v/>
      </c>
      <c r="M342" s="9"/>
    </row>
    <row r="343" customFormat="false" ht="15" hidden="false" customHeight="true" outlineLevel="0" collapsed="false">
      <c r="A343" s="8"/>
      <c r="B343" s="9"/>
      <c r="C343" s="9"/>
      <c r="D343" s="9"/>
      <c r="E343" s="9"/>
      <c r="F343" s="9"/>
      <c r="G343" s="9"/>
      <c r="H343" s="9"/>
      <c r="I343" s="8"/>
      <c r="J343" s="8"/>
      <c r="K343" s="9"/>
      <c r="L343" s="10" t="str">
        <f aca="false">IF(OR(I343="",J343=""),"",MAX(0,J343-I343))</f>
        <v/>
      </c>
      <c r="M343" s="9"/>
    </row>
    <row r="344" customFormat="false" ht="15" hidden="false" customHeight="true" outlineLevel="0" collapsed="false">
      <c r="A344" s="8"/>
      <c r="B344" s="9"/>
      <c r="C344" s="9"/>
      <c r="D344" s="9"/>
      <c r="E344" s="9"/>
      <c r="F344" s="9"/>
      <c r="G344" s="9"/>
      <c r="H344" s="9"/>
      <c r="I344" s="8"/>
      <c r="J344" s="8"/>
      <c r="K344" s="9"/>
      <c r="L344" s="10" t="str">
        <f aca="false">IF(OR(I344="",J344=""),"",MAX(0,J344-I344))</f>
        <v/>
      </c>
      <c r="M344" s="9"/>
    </row>
    <row r="345" customFormat="false" ht="15" hidden="false" customHeight="true" outlineLevel="0" collapsed="false">
      <c r="A345" s="8"/>
      <c r="B345" s="9"/>
      <c r="C345" s="9"/>
      <c r="D345" s="9"/>
      <c r="E345" s="9"/>
      <c r="F345" s="9"/>
      <c r="G345" s="9"/>
      <c r="H345" s="9"/>
      <c r="I345" s="8"/>
      <c r="J345" s="8"/>
      <c r="K345" s="9"/>
      <c r="L345" s="10" t="str">
        <f aca="false">IF(OR(I345="",J345=""),"",MAX(0,J345-I345))</f>
        <v/>
      </c>
      <c r="M345" s="9"/>
    </row>
    <row r="346" customFormat="false" ht="15" hidden="false" customHeight="true" outlineLevel="0" collapsed="false">
      <c r="A346" s="8"/>
      <c r="B346" s="9"/>
      <c r="C346" s="9"/>
      <c r="D346" s="9"/>
      <c r="E346" s="9"/>
      <c r="F346" s="9"/>
      <c r="G346" s="9"/>
      <c r="H346" s="9"/>
      <c r="I346" s="8"/>
      <c r="J346" s="8"/>
      <c r="K346" s="9"/>
      <c r="L346" s="10" t="str">
        <f aca="false">IF(OR(I346="",J346=""),"",MAX(0,J346-I346))</f>
        <v/>
      </c>
      <c r="M346" s="9"/>
    </row>
    <row r="347" customFormat="false" ht="15" hidden="false" customHeight="true" outlineLevel="0" collapsed="false">
      <c r="A347" s="8"/>
      <c r="B347" s="9"/>
      <c r="C347" s="9"/>
      <c r="D347" s="9"/>
      <c r="E347" s="9"/>
      <c r="F347" s="9"/>
      <c r="G347" s="9"/>
      <c r="H347" s="9"/>
      <c r="I347" s="8"/>
      <c r="J347" s="8"/>
      <c r="K347" s="9"/>
      <c r="L347" s="10" t="str">
        <f aca="false">IF(OR(I347="",J347=""),"",MAX(0,J347-I347))</f>
        <v/>
      </c>
      <c r="M347" s="9"/>
    </row>
    <row r="348" customFormat="false" ht="15" hidden="false" customHeight="true" outlineLevel="0" collapsed="false">
      <c r="A348" s="8"/>
      <c r="B348" s="9"/>
      <c r="C348" s="9"/>
      <c r="D348" s="9"/>
      <c r="E348" s="9"/>
      <c r="F348" s="9"/>
      <c r="G348" s="9"/>
      <c r="H348" s="9"/>
      <c r="I348" s="8"/>
      <c r="J348" s="8"/>
      <c r="K348" s="9"/>
      <c r="L348" s="10" t="str">
        <f aca="false">IF(OR(I348="",J348=""),"",MAX(0,J348-I348))</f>
        <v/>
      </c>
      <c r="M348" s="9"/>
    </row>
    <row r="349" customFormat="false" ht="15" hidden="false" customHeight="true" outlineLevel="0" collapsed="false">
      <c r="A349" s="8"/>
      <c r="B349" s="9"/>
      <c r="C349" s="9"/>
      <c r="D349" s="9"/>
      <c r="E349" s="9"/>
      <c r="F349" s="9"/>
      <c r="G349" s="9"/>
      <c r="H349" s="9"/>
      <c r="I349" s="8"/>
      <c r="J349" s="8"/>
      <c r="K349" s="9"/>
      <c r="L349" s="10" t="str">
        <f aca="false">IF(OR(I349="",J349=""),"",MAX(0,J349-I349))</f>
        <v/>
      </c>
      <c r="M349" s="9"/>
    </row>
    <row r="350" customFormat="false" ht="15" hidden="false" customHeight="true" outlineLevel="0" collapsed="false">
      <c r="A350" s="8"/>
      <c r="B350" s="9"/>
      <c r="C350" s="9"/>
      <c r="D350" s="9"/>
      <c r="E350" s="9"/>
      <c r="F350" s="9"/>
      <c r="G350" s="9"/>
      <c r="H350" s="9"/>
      <c r="I350" s="8"/>
      <c r="J350" s="8"/>
      <c r="K350" s="9"/>
      <c r="L350" s="10" t="str">
        <f aca="false">IF(OR(I350="",J350=""),"",MAX(0,J350-I350))</f>
        <v/>
      </c>
      <c r="M350" s="9"/>
    </row>
    <row r="351" customFormat="false" ht="15" hidden="false" customHeight="true" outlineLevel="0" collapsed="false">
      <c r="A351" s="8"/>
      <c r="B351" s="9"/>
      <c r="C351" s="9"/>
      <c r="D351" s="9"/>
      <c r="E351" s="9"/>
      <c r="F351" s="9"/>
      <c r="G351" s="9"/>
      <c r="H351" s="9"/>
      <c r="I351" s="8"/>
      <c r="J351" s="8"/>
      <c r="K351" s="9"/>
      <c r="L351" s="10" t="str">
        <f aca="false">IF(OR(I351="",J351=""),"",MAX(0,J351-I351))</f>
        <v/>
      </c>
      <c r="M351" s="9"/>
    </row>
    <row r="352" customFormat="false" ht="15" hidden="false" customHeight="true" outlineLevel="0" collapsed="false">
      <c r="A352" s="8"/>
      <c r="B352" s="9"/>
      <c r="C352" s="9"/>
      <c r="D352" s="9"/>
      <c r="E352" s="9"/>
      <c r="F352" s="9"/>
      <c r="G352" s="9"/>
      <c r="H352" s="9"/>
      <c r="I352" s="8"/>
      <c r="J352" s="8"/>
      <c r="K352" s="9"/>
      <c r="L352" s="10" t="str">
        <f aca="false">IF(OR(I352="",J352=""),"",MAX(0,J352-I352))</f>
        <v/>
      </c>
      <c r="M352" s="9"/>
    </row>
    <row r="353" customFormat="false" ht="15" hidden="false" customHeight="true" outlineLevel="0" collapsed="false">
      <c r="A353" s="8"/>
      <c r="B353" s="9"/>
      <c r="C353" s="9"/>
      <c r="D353" s="9"/>
      <c r="E353" s="9"/>
      <c r="F353" s="9"/>
      <c r="G353" s="9"/>
      <c r="H353" s="9"/>
      <c r="I353" s="8"/>
      <c r="J353" s="8"/>
      <c r="K353" s="9"/>
      <c r="L353" s="10" t="str">
        <f aca="false">IF(OR(I353="",J353=""),"",MAX(0,J353-I353))</f>
        <v/>
      </c>
      <c r="M353" s="9"/>
    </row>
    <row r="354" customFormat="false" ht="15" hidden="false" customHeight="true" outlineLevel="0" collapsed="false">
      <c r="A354" s="8"/>
      <c r="B354" s="9"/>
      <c r="C354" s="9"/>
      <c r="D354" s="9"/>
      <c r="E354" s="9"/>
      <c r="F354" s="9"/>
      <c r="G354" s="9"/>
      <c r="H354" s="9"/>
      <c r="I354" s="8"/>
      <c r="J354" s="8"/>
      <c r="K354" s="9"/>
      <c r="L354" s="10" t="str">
        <f aca="false">IF(OR(I354="",J354=""),"",MAX(0,J354-I354))</f>
        <v/>
      </c>
      <c r="M354" s="9"/>
    </row>
    <row r="355" customFormat="false" ht="15" hidden="false" customHeight="true" outlineLevel="0" collapsed="false">
      <c r="A355" s="8"/>
      <c r="B355" s="9"/>
      <c r="C355" s="9"/>
      <c r="D355" s="9"/>
      <c r="E355" s="9"/>
      <c r="F355" s="9"/>
      <c r="G355" s="9"/>
      <c r="H355" s="9"/>
      <c r="I355" s="8"/>
      <c r="J355" s="8"/>
      <c r="K355" s="9"/>
      <c r="L355" s="10" t="str">
        <f aca="false">IF(OR(I355="",J355=""),"",MAX(0,J355-I355))</f>
        <v/>
      </c>
      <c r="M355" s="9"/>
    </row>
    <row r="356" customFormat="false" ht="15" hidden="false" customHeight="true" outlineLevel="0" collapsed="false">
      <c r="A356" s="8"/>
      <c r="B356" s="9"/>
      <c r="C356" s="9"/>
      <c r="D356" s="9"/>
      <c r="E356" s="9"/>
      <c r="F356" s="9"/>
      <c r="G356" s="9"/>
      <c r="H356" s="9"/>
      <c r="I356" s="8"/>
      <c r="J356" s="8"/>
      <c r="K356" s="9"/>
      <c r="L356" s="10" t="str">
        <f aca="false">IF(OR(I356="",J356=""),"",MAX(0,J356-I356))</f>
        <v/>
      </c>
      <c r="M356" s="9"/>
    </row>
    <row r="357" customFormat="false" ht="15" hidden="false" customHeight="true" outlineLevel="0" collapsed="false">
      <c r="A357" s="8"/>
      <c r="B357" s="9"/>
      <c r="C357" s="9"/>
      <c r="D357" s="9"/>
      <c r="E357" s="9"/>
      <c r="F357" s="9"/>
      <c r="G357" s="9"/>
      <c r="H357" s="9"/>
      <c r="I357" s="8"/>
      <c r="J357" s="8"/>
      <c r="K357" s="9"/>
      <c r="L357" s="10" t="str">
        <f aca="false">IF(OR(I357="",J357=""),"",MAX(0,J357-I357))</f>
        <v/>
      </c>
      <c r="M357" s="9"/>
    </row>
    <row r="358" customFormat="false" ht="15" hidden="false" customHeight="true" outlineLevel="0" collapsed="false">
      <c r="A358" s="8"/>
      <c r="B358" s="9"/>
      <c r="C358" s="9"/>
      <c r="D358" s="9"/>
      <c r="E358" s="9"/>
      <c r="F358" s="9"/>
      <c r="G358" s="9"/>
      <c r="H358" s="9"/>
      <c r="I358" s="8"/>
      <c r="J358" s="8"/>
      <c r="K358" s="9"/>
      <c r="L358" s="10" t="str">
        <f aca="false">IF(OR(I358="",J358=""),"",MAX(0,J358-I358))</f>
        <v/>
      </c>
      <c r="M358" s="9"/>
    </row>
    <row r="359" customFormat="false" ht="15" hidden="false" customHeight="true" outlineLevel="0" collapsed="false">
      <c r="A359" s="8"/>
      <c r="B359" s="9"/>
      <c r="C359" s="9"/>
      <c r="D359" s="9"/>
      <c r="E359" s="9"/>
      <c r="F359" s="9"/>
      <c r="G359" s="9"/>
      <c r="H359" s="9"/>
      <c r="I359" s="8"/>
      <c r="J359" s="8"/>
      <c r="K359" s="9"/>
      <c r="L359" s="10" t="str">
        <f aca="false">IF(OR(I359="",J359=""),"",MAX(0,J359-I359))</f>
        <v/>
      </c>
      <c r="M359" s="9"/>
    </row>
    <row r="360" customFormat="false" ht="15" hidden="false" customHeight="true" outlineLevel="0" collapsed="false">
      <c r="A360" s="8"/>
      <c r="B360" s="9"/>
      <c r="C360" s="9"/>
      <c r="D360" s="9"/>
      <c r="E360" s="9"/>
      <c r="F360" s="9"/>
      <c r="G360" s="9"/>
      <c r="H360" s="9"/>
      <c r="I360" s="8"/>
      <c r="J360" s="8"/>
      <c r="K360" s="9"/>
      <c r="L360" s="10" t="str">
        <f aca="false">IF(OR(I360="",J360=""),"",MAX(0,J360-I360))</f>
        <v/>
      </c>
      <c r="M360" s="9"/>
    </row>
    <row r="361" customFormat="false" ht="15" hidden="false" customHeight="true" outlineLevel="0" collapsed="false">
      <c r="A361" s="8"/>
      <c r="B361" s="9"/>
      <c r="C361" s="9"/>
      <c r="D361" s="9"/>
      <c r="E361" s="9"/>
      <c r="F361" s="9"/>
      <c r="G361" s="9"/>
      <c r="H361" s="9"/>
      <c r="I361" s="8"/>
      <c r="J361" s="8"/>
      <c r="K361" s="9"/>
      <c r="L361" s="10" t="str">
        <f aca="false">IF(OR(I361="",J361=""),"",MAX(0,J361-I361))</f>
        <v/>
      </c>
      <c r="M361" s="9"/>
    </row>
    <row r="362" customFormat="false" ht="15" hidden="false" customHeight="true" outlineLevel="0" collapsed="false">
      <c r="A362" s="8"/>
      <c r="B362" s="9"/>
      <c r="C362" s="9"/>
      <c r="D362" s="9"/>
      <c r="E362" s="9"/>
      <c r="F362" s="9"/>
      <c r="G362" s="9"/>
      <c r="H362" s="9"/>
      <c r="I362" s="8"/>
      <c r="J362" s="8"/>
      <c r="K362" s="9"/>
      <c r="L362" s="10" t="str">
        <f aca="false">IF(OR(I362="",J362=""),"",MAX(0,J362-I362))</f>
        <v/>
      </c>
      <c r="M362" s="9"/>
    </row>
    <row r="363" customFormat="false" ht="15" hidden="false" customHeight="true" outlineLevel="0" collapsed="false">
      <c r="A363" s="8"/>
      <c r="B363" s="9"/>
      <c r="C363" s="9"/>
      <c r="D363" s="9"/>
      <c r="E363" s="9"/>
      <c r="F363" s="9"/>
      <c r="G363" s="9"/>
      <c r="H363" s="9"/>
      <c r="I363" s="8"/>
      <c r="J363" s="8"/>
      <c r="K363" s="9"/>
      <c r="L363" s="10" t="str">
        <f aca="false">IF(OR(I363="",J363=""),"",MAX(0,J363-I363))</f>
        <v/>
      </c>
      <c r="M363" s="9"/>
    </row>
    <row r="364" customFormat="false" ht="15" hidden="false" customHeight="true" outlineLevel="0" collapsed="false">
      <c r="A364" s="8"/>
      <c r="B364" s="9"/>
      <c r="C364" s="9"/>
      <c r="D364" s="9"/>
      <c r="E364" s="9"/>
      <c r="F364" s="9"/>
      <c r="G364" s="9"/>
      <c r="H364" s="9"/>
      <c r="I364" s="8"/>
      <c r="J364" s="8"/>
      <c r="K364" s="9"/>
      <c r="L364" s="10" t="str">
        <f aca="false">IF(OR(I364="",J364=""),"",MAX(0,J364-I364))</f>
        <v/>
      </c>
      <c r="M364" s="9"/>
    </row>
    <row r="365" customFormat="false" ht="15" hidden="false" customHeight="true" outlineLevel="0" collapsed="false">
      <c r="A365" s="8"/>
      <c r="B365" s="9"/>
      <c r="C365" s="9"/>
      <c r="D365" s="9"/>
      <c r="E365" s="9"/>
      <c r="F365" s="9"/>
      <c r="G365" s="9"/>
      <c r="H365" s="9"/>
      <c r="I365" s="8"/>
      <c r="J365" s="8"/>
      <c r="K365" s="9"/>
      <c r="L365" s="10" t="str">
        <f aca="false">IF(OR(I365="",J365=""),"",MAX(0,J365-I365))</f>
        <v/>
      </c>
      <c r="M365" s="9"/>
    </row>
    <row r="366" customFormat="false" ht="15" hidden="false" customHeight="true" outlineLevel="0" collapsed="false">
      <c r="A366" s="8"/>
      <c r="B366" s="9"/>
      <c r="C366" s="9"/>
      <c r="D366" s="9"/>
      <c r="E366" s="9"/>
      <c r="F366" s="9"/>
      <c r="G366" s="9"/>
      <c r="H366" s="9"/>
      <c r="I366" s="8"/>
      <c r="J366" s="8"/>
      <c r="K366" s="9"/>
      <c r="L366" s="10" t="str">
        <f aca="false">IF(OR(I366="",J366=""),"",MAX(0,J366-I366))</f>
        <v/>
      </c>
      <c r="M366" s="9"/>
    </row>
    <row r="367" customFormat="false" ht="15" hidden="false" customHeight="true" outlineLevel="0" collapsed="false">
      <c r="A367" s="8"/>
      <c r="B367" s="9"/>
      <c r="C367" s="9"/>
      <c r="D367" s="9"/>
      <c r="E367" s="9"/>
      <c r="F367" s="9"/>
      <c r="G367" s="9"/>
      <c r="H367" s="9"/>
      <c r="I367" s="8"/>
      <c r="J367" s="8"/>
      <c r="K367" s="9"/>
      <c r="L367" s="10" t="str">
        <f aca="false">IF(OR(I367="",J367=""),"",MAX(0,J367-I367))</f>
        <v/>
      </c>
      <c r="M367" s="9"/>
    </row>
    <row r="368" customFormat="false" ht="15" hidden="false" customHeight="true" outlineLevel="0" collapsed="false">
      <c r="A368" s="8"/>
      <c r="B368" s="9"/>
      <c r="C368" s="9"/>
      <c r="D368" s="9"/>
      <c r="E368" s="9"/>
      <c r="F368" s="9"/>
      <c r="G368" s="9"/>
      <c r="H368" s="9"/>
      <c r="I368" s="8"/>
      <c r="J368" s="8"/>
      <c r="K368" s="9"/>
      <c r="L368" s="10" t="str">
        <f aca="false">IF(OR(I368="",J368=""),"",MAX(0,J368-I368))</f>
        <v/>
      </c>
      <c r="M368" s="9"/>
    </row>
    <row r="369" customFormat="false" ht="15" hidden="false" customHeight="true" outlineLevel="0" collapsed="false">
      <c r="A369" s="8"/>
      <c r="B369" s="9"/>
      <c r="C369" s="9"/>
      <c r="D369" s="9"/>
      <c r="E369" s="9"/>
      <c r="F369" s="9"/>
      <c r="G369" s="9"/>
      <c r="H369" s="9"/>
      <c r="I369" s="8"/>
      <c r="J369" s="8"/>
      <c r="K369" s="9"/>
      <c r="L369" s="10" t="str">
        <f aca="false">IF(OR(I369="",J369=""),"",MAX(0,J369-I369))</f>
        <v/>
      </c>
      <c r="M369" s="9"/>
    </row>
    <row r="370" customFormat="false" ht="15" hidden="false" customHeight="true" outlineLevel="0" collapsed="false">
      <c r="A370" s="8"/>
      <c r="B370" s="9"/>
      <c r="C370" s="9"/>
      <c r="D370" s="9"/>
      <c r="E370" s="9"/>
      <c r="F370" s="9"/>
      <c r="G370" s="9"/>
      <c r="H370" s="9"/>
      <c r="I370" s="8"/>
      <c r="J370" s="8"/>
      <c r="K370" s="9"/>
      <c r="L370" s="10" t="str">
        <f aca="false">IF(OR(I370="",J370=""),"",MAX(0,J370-I370))</f>
        <v/>
      </c>
      <c r="M370" s="9"/>
    </row>
    <row r="371" customFormat="false" ht="15" hidden="false" customHeight="true" outlineLevel="0" collapsed="false">
      <c r="A371" s="8"/>
      <c r="B371" s="9"/>
      <c r="C371" s="9"/>
      <c r="D371" s="9"/>
      <c r="E371" s="9"/>
      <c r="F371" s="9"/>
      <c r="G371" s="9"/>
      <c r="H371" s="9"/>
      <c r="I371" s="8"/>
      <c r="J371" s="8"/>
      <c r="K371" s="9"/>
      <c r="L371" s="10" t="str">
        <f aca="false">IF(OR(I371="",J371=""),"",MAX(0,J371-I371))</f>
        <v/>
      </c>
      <c r="M371" s="9"/>
    </row>
    <row r="372" customFormat="false" ht="15" hidden="false" customHeight="true" outlineLevel="0" collapsed="false">
      <c r="A372" s="8"/>
      <c r="B372" s="9"/>
      <c r="C372" s="9"/>
      <c r="D372" s="9"/>
      <c r="E372" s="9"/>
      <c r="F372" s="9"/>
      <c r="G372" s="9"/>
      <c r="H372" s="9"/>
      <c r="I372" s="8"/>
      <c r="J372" s="8"/>
      <c r="K372" s="9"/>
      <c r="L372" s="10" t="str">
        <f aca="false">IF(OR(I372="",J372=""),"",MAX(0,J372-I372))</f>
        <v/>
      </c>
      <c r="M372" s="9"/>
    </row>
    <row r="373" customFormat="false" ht="15" hidden="false" customHeight="true" outlineLevel="0" collapsed="false">
      <c r="A373" s="8"/>
      <c r="B373" s="9"/>
      <c r="C373" s="9"/>
      <c r="D373" s="9"/>
      <c r="E373" s="9"/>
      <c r="F373" s="9"/>
      <c r="G373" s="9"/>
      <c r="H373" s="9"/>
      <c r="I373" s="8"/>
      <c r="J373" s="8"/>
      <c r="K373" s="9"/>
      <c r="L373" s="10" t="str">
        <f aca="false">IF(OR(I373="",J373=""),"",MAX(0,J373-I373))</f>
        <v/>
      </c>
      <c r="M373" s="9"/>
    </row>
    <row r="374" customFormat="false" ht="15" hidden="false" customHeight="true" outlineLevel="0" collapsed="false">
      <c r="A374" s="8"/>
      <c r="B374" s="9"/>
      <c r="C374" s="9"/>
      <c r="D374" s="9"/>
      <c r="E374" s="9"/>
      <c r="F374" s="9"/>
      <c r="G374" s="9"/>
      <c r="H374" s="9"/>
      <c r="I374" s="8"/>
      <c r="J374" s="8"/>
      <c r="K374" s="9"/>
      <c r="L374" s="10" t="str">
        <f aca="false">IF(OR(I374="",J374=""),"",MAX(0,J374-I374))</f>
        <v/>
      </c>
      <c r="M374" s="9"/>
    </row>
    <row r="375" customFormat="false" ht="15" hidden="false" customHeight="true" outlineLevel="0" collapsed="false">
      <c r="A375" s="8"/>
      <c r="B375" s="9"/>
      <c r="C375" s="9"/>
      <c r="D375" s="9"/>
      <c r="E375" s="9"/>
      <c r="F375" s="9"/>
      <c r="G375" s="9"/>
      <c r="H375" s="9"/>
      <c r="I375" s="8"/>
      <c r="J375" s="8"/>
      <c r="K375" s="9"/>
      <c r="L375" s="10" t="str">
        <f aca="false">IF(OR(I375="",J375=""),"",MAX(0,J375-I375))</f>
        <v/>
      </c>
      <c r="M375" s="9"/>
    </row>
    <row r="376" customFormat="false" ht="15" hidden="false" customHeight="true" outlineLevel="0" collapsed="false">
      <c r="A376" s="8"/>
      <c r="B376" s="9"/>
      <c r="C376" s="9"/>
      <c r="D376" s="9"/>
      <c r="E376" s="9"/>
      <c r="F376" s="9"/>
      <c r="G376" s="9"/>
      <c r="H376" s="9"/>
      <c r="I376" s="8"/>
      <c r="J376" s="8"/>
      <c r="K376" s="9"/>
      <c r="L376" s="10" t="str">
        <f aca="false">IF(OR(I376="",J376=""),"",MAX(0,J376-I376))</f>
        <v/>
      </c>
      <c r="M376" s="9"/>
    </row>
    <row r="377" customFormat="false" ht="15" hidden="false" customHeight="true" outlineLevel="0" collapsed="false">
      <c r="A377" s="8"/>
      <c r="B377" s="9"/>
      <c r="C377" s="9"/>
      <c r="D377" s="9"/>
      <c r="E377" s="9"/>
      <c r="F377" s="9"/>
      <c r="G377" s="9"/>
      <c r="H377" s="9"/>
      <c r="I377" s="8"/>
      <c r="J377" s="8"/>
      <c r="K377" s="9"/>
      <c r="L377" s="10" t="str">
        <f aca="false">IF(OR(I377="",J377=""),"",MAX(0,J377-I377))</f>
        <v/>
      </c>
      <c r="M377" s="9"/>
    </row>
    <row r="378" customFormat="false" ht="15" hidden="false" customHeight="true" outlineLevel="0" collapsed="false">
      <c r="A378" s="8"/>
      <c r="B378" s="9"/>
      <c r="C378" s="9"/>
      <c r="D378" s="9"/>
      <c r="E378" s="9"/>
      <c r="F378" s="9"/>
      <c r="G378" s="9"/>
      <c r="H378" s="9"/>
      <c r="I378" s="8"/>
      <c r="J378" s="8"/>
      <c r="K378" s="9"/>
      <c r="L378" s="10" t="str">
        <f aca="false">IF(OR(I378="",J378=""),"",MAX(0,J378-I378))</f>
        <v/>
      </c>
      <c r="M378" s="9"/>
    </row>
    <row r="379" customFormat="false" ht="15" hidden="false" customHeight="true" outlineLevel="0" collapsed="false">
      <c r="A379" s="8"/>
      <c r="B379" s="9"/>
      <c r="C379" s="9"/>
      <c r="D379" s="9"/>
      <c r="E379" s="9"/>
      <c r="F379" s="9"/>
      <c r="G379" s="9"/>
      <c r="H379" s="9"/>
      <c r="I379" s="8"/>
      <c r="J379" s="8"/>
      <c r="K379" s="9"/>
      <c r="L379" s="10" t="str">
        <f aca="false">IF(OR(I379="",J379=""),"",MAX(0,J379-I379))</f>
        <v/>
      </c>
      <c r="M379" s="9"/>
    </row>
    <row r="380" customFormat="false" ht="15" hidden="false" customHeight="true" outlineLevel="0" collapsed="false">
      <c r="A380" s="8"/>
      <c r="B380" s="9"/>
      <c r="C380" s="9"/>
      <c r="D380" s="9"/>
      <c r="E380" s="9"/>
      <c r="F380" s="9"/>
      <c r="G380" s="9"/>
      <c r="H380" s="9"/>
      <c r="I380" s="8"/>
      <c r="J380" s="8"/>
      <c r="K380" s="9"/>
      <c r="L380" s="10" t="str">
        <f aca="false">IF(OR(I380="",J380=""),"",MAX(0,J380-I380))</f>
        <v/>
      </c>
      <c r="M380" s="9"/>
    </row>
    <row r="381" customFormat="false" ht="15" hidden="false" customHeight="true" outlineLevel="0" collapsed="false">
      <c r="A381" s="8"/>
      <c r="B381" s="9"/>
      <c r="C381" s="9"/>
      <c r="D381" s="9"/>
      <c r="E381" s="9"/>
      <c r="F381" s="9"/>
      <c r="G381" s="9"/>
      <c r="H381" s="9"/>
      <c r="I381" s="8"/>
      <c r="J381" s="8"/>
      <c r="K381" s="9"/>
      <c r="L381" s="10" t="str">
        <f aca="false">IF(OR(I381="",J381=""),"",MAX(0,J381-I381))</f>
        <v/>
      </c>
      <c r="M381" s="9"/>
    </row>
    <row r="382" customFormat="false" ht="15" hidden="false" customHeight="true" outlineLevel="0" collapsed="false">
      <c r="A382" s="8"/>
      <c r="B382" s="9"/>
      <c r="C382" s="9"/>
      <c r="D382" s="9"/>
      <c r="E382" s="9"/>
      <c r="F382" s="9"/>
      <c r="G382" s="9"/>
      <c r="H382" s="9"/>
      <c r="I382" s="8"/>
      <c r="J382" s="8"/>
      <c r="K382" s="9"/>
      <c r="L382" s="10" t="str">
        <f aca="false">IF(OR(I382="",J382=""),"",MAX(0,J382-I382))</f>
        <v/>
      </c>
      <c r="M382" s="9"/>
    </row>
    <row r="383" customFormat="false" ht="15" hidden="false" customHeight="true" outlineLevel="0" collapsed="false">
      <c r="A383" s="8"/>
      <c r="B383" s="9"/>
      <c r="C383" s="9"/>
      <c r="D383" s="9"/>
      <c r="E383" s="9"/>
      <c r="F383" s="9"/>
      <c r="G383" s="9"/>
      <c r="H383" s="9"/>
      <c r="I383" s="8"/>
      <c r="J383" s="8"/>
      <c r="K383" s="9"/>
      <c r="L383" s="10" t="str">
        <f aca="false">IF(OR(I383="",J383=""),"",MAX(0,J383-I383))</f>
        <v/>
      </c>
      <c r="M383" s="9"/>
    </row>
    <row r="384" customFormat="false" ht="15" hidden="false" customHeight="true" outlineLevel="0" collapsed="false">
      <c r="A384" s="8"/>
      <c r="B384" s="9"/>
      <c r="C384" s="9"/>
      <c r="D384" s="9"/>
      <c r="E384" s="9"/>
      <c r="F384" s="9"/>
      <c r="G384" s="9"/>
      <c r="H384" s="9"/>
      <c r="I384" s="8"/>
      <c r="J384" s="8"/>
      <c r="K384" s="9"/>
      <c r="L384" s="10" t="str">
        <f aca="false">IF(OR(I384="",J384=""),"",MAX(0,J384-I384))</f>
        <v/>
      </c>
      <c r="M384" s="9"/>
    </row>
    <row r="385" customFormat="false" ht="15" hidden="false" customHeight="true" outlineLevel="0" collapsed="false">
      <c r="A385" s="8"/>
      <c r="B385" s="9"/>
      <c r="C385" s="9"/>
      <c r="D385" s="9"/>
      <c r="E385" s="9"/>
      <c r="F385" s="9"/>
      <c r="G385" s="9"/>
      <c r="H385" s="9"/>
      <c r="I385" s="8"/>
      <c r="J385" s="8"/>
      <c r="K385" s="9"/>
      <c r="L385" s="10" t="str">
        <f aca="false">IF(OR(I385="",J385=""),"",MAX(0,J385-I385))</f>
        <v/>
      </c>
      <c r="M385" s="9"/>
    </row>
    <row r="386" customFormat="false" ht="15" hidden="false" customHeight="true" outlineLevel="0" collapsed="false">
      <c r="A386" s="8"/>
      <c r="B386" s="9"/>
      <c r="C386" s="9"/>
      <c r="D386" s="9"/>
      <c r="E386" s="9"/>
      <c r="F386" s="9"/>
      <c r="G386" s="9"/>
      <c r="H386" s="9"/>
      <c r="I386" s="8"/>
      <c r="J386" s="8"/>
      <c r="K386" s="9"/>
      <c r="L386" s="10" t="str">
        <f aca="false">IF(OR(I386="",J386=""),"",MAX(0,J386-I386))</f>
        <v/>
      </c>
      <c r="M386" s="9"/>
    </row>
    <row r="387" customFormat="false" ht="15" hidden="false" customHeight="true" outlineLevel="0" collapsed="false">
      <c r="A387" s="8"/>
      <c r="B387" s="9"/>
      <c r="C387" s="9"/>
      <c r="D387" s="9"/>
      <c r="E387" s="9"/>
      <c r="F387" s="9"/>
      <c r="G387" s="9"/>
      <c r="H387" s="9"/>
      <c r="I387" s="8"/>
      <c r="J387" s="8"/>
      <c r="K387" s="9"/>
      <c r="L387" s="10" t="str">
        <f aca="false">IF(OR(I387="",J387=""),"",MAX(0,J387-I387))</f>
        <v/>
      </c>
      <c r="M387" s="9"/>
    </row>
    <row r="388" customFormat="false" ht="15" hidden="false" customHeight="true" outlineLevel="0" collapsed="false">
      <c r="A388" s="8"/>
      <c r="B388" s="9"/>
      <c r="C388" s="9"/>
      <c r="D388" s="9"/>
      <c r="E388" s="9"/>
      <c r="F388" s="9"/>
      <c r="G388" s="9"/>
      <c r="H388" s="9"/>
      <c r="I388" s="8"/>
      <c r="J388" s="8"/>
      <c r="K388" s="9"/>
      <c r="L388" s="10" t="str">
        <f aca="false">IF(OR(I388="",J388=""),"",MAX(0,J388-I388))</f>
        <v/>
      </c>
      <c r="M388" s="9"/>
    </row>
    <row r="389" customFormat="false" ht="15" hidden="false" customHeight="true" outlineLevel="0" collapsed="false">
      <c r="A389" s="8"/>
      <c r="B389" s="9"/>
      <c r="C389" s="9"/>
      <c r="D389" s="9"/>
      <c r="E389" s="9"/>
      <c r="F389" s="9"/>
      <c r="G389" s="9"/>
      <c r="H389" s="9"/>
      <c r="I389" s="8"/>
      <c r="J389" s="8"/>
      <c r="K389" s="9"/>
      <c r="L389" s="10" t="str">
        <f aca="false">IF(OR(I389="",J389=""),"",MAX(0,J389-I389))</f>
        <v/>
      </c>
      <c r="M389" s="9"/>
    </row>
    <row r="390" customFormat="false" ht="15" hidden="false" customHeight="true" outlineLevel="0" collapsed="false">
      <c r="A390" s="8"/>
      <c r="B390" s="9"/>
      <c r="C390" s="9"/>
      <c r="D390" s="9"/>
      <c r="E390" s="9"/>
      <c r="F390" s="9"/>
      <c r="G390" s="9"/>
      <c r="H390" s="9"/>
      <c r="I390" s="8"/>
      <c r="J390" s="8"/>
      <c r="K390" s="9"/>
      <c r="L390" s="10" t="str">
        <f aca="false">IF(OR(I390="",J390=""),"",MAX(0,J390-I390))</f>
        <v/>
      </c>
      <c r="M390" s="9"/>
    </row>
    <row r="391" customFormat="false" ht="15" hidden="false" customHeight="true" outlineLevel="0" collapsed="false">
      <c r="A391" s="8"/>
      <c r="B391" s="9"/>
      <c r="C391" s="9"/>
      <c r="D391" s="9"/>
      <c r="E391" s="9"/>
      <c r="F391" s="9"/>
      <c r="G391" s="9"/>
      <c r="H391" s="9"/>
      <c r="I391" s="8"/>
      <c r="J391" s="8"/>
      <c r="K391" s="9"/>
      <c r="L391" s="10" t="str">
        <f aca="false">IF(OR(I391="",J391=""),"",MAX(0,J391-I391))</f>
        <v/>
      </c>
      <c r="M391" s="9"/>
    </row>
    <row r="392" customFormat="false" ht="15" hidden="false" customHeight="true" outlineLevel="0" collapsed="false">
      <c r="A392" s="8"/>
      <c r="B392" s="9"/>
      <c r="C392" s="9"/>
      <c r="D392" s="9"/>
      <c r="E392" s="9"/>
      <c r="F392" s="9"/>
      <c r="G392" s="9"/>
      <c r="H392" s="9"/>
      <c r="I392" s="8"/>
      <c r="J392" s="8"/>
      <c r="K392" s="9"/>
      <c r="L392" s="10" t="str">
        <f aca="false">IF(OR(I392="",J392=""),"",MAX(0,J392-I392))</f>
        <v/>
      </c>
      <c r="M392" s="9"/>
    </row>
    <row r="393" customFormat="false" ht="15" hidden="false" customHeight="true" outlineLevel="0" collapsed="false">
      <c r="A393" s="8"/>
      <c r="B393" s="9"/>
      <c r="C393" s="9"/>
      <c r="D393" s="9"/>
      <c r="E393" s="9"/>
      <c r="F393" s="9"/>
      <c r="G393" s="9"/>
      <c r="H393" s="9"/>
      <c r="I393" s="8"/>
      <c r="J393" s="8"/>
      <c r="K393" s="9"/>
      <c r="L393" s="10" t="str">
        <f aca="false">IF(OR(I393="",J393=""),"",MAX(0,J393-I393))</f>
        <v/>
      </c>
      <c r="M393" s="9"/>
    </row>
    <row r="394" customFormat="false" ht="15" hidden="false" customHeight="true" outlineLevel="0" collapsed="false">
      <c r="A394" s="8"/>
      <c r="B394" s="9"/>
      <c r="C394" s="9"/>
      <c r="D394" s="9"/>
      <c r="E394" s="9"/>
      <c r="F394" s="9"/>
      <c r="G394" s="9"/>
      <c r="H394" s="9"/>
      <c r="I394" s="8"/>
      <c r="J394" s="8"/>
      <c r="K394" s="9"/>
      <c r="L394" s="10" t="str">
        <f aca="false">IF(OR(I394="",J394=""),"",MAX(0,J394-I394))</f>
        <v/>
      </c>
      <c r="M394" s="9"/>
    </row>
    <row r="395" customFormat="false" ht="15" hidden="false" customHeight="true" outlineLevel="0" collapsed="false">
      <c r="A395" s="8"/>
      <c r="B395" s="9"/>
      <c r="C395" s="9"/>
      <c r="D395" s="9"/>
      <c r="E395" s="9"/>
      <c r="F395" s="9"/>
      <c r="G395" s="9"/>
      <c r="H395" s="9"/>
      <c r="I395" s="8"/>
      <c r="J395" s="8"/>
      <c r="K395" s="9"/>
      <c r="L395" s="10" t="str">
        <f aca="false">IF(OR(I395="",J395=""),"",MAX(0,J395-I395))</f>
        <v/>
      </c>
      <c r="M395" s="9"/>
    </row>
    <row r="396" customFormat="false" ht="15" hidden="false" customHeight="true" outlineLevel="0" collapsed="false">
      <c r="A396" s="8"/>
      <c r="B396" s="9"/>
      <c r="C396" s="9"/>
      <c r="D396" s="9"/>
      <c r="E396" s="9"/>
      <c r="F396" s="9"/>
      <c r="G396" s="9"/>
      <c r="H396" s="9"/>
      <c r="I396" s="8"/>
      <c r="J396" s="8"/>
      <c r="K396" s="9"/>
      <c r="L396" s="10" t="str">
        <f aca="false">IF(OR(I396="",J396=""),"",MAX(0,J396-I396))</f>
        <v/>
      </c>
      <c r="M396" s="9"/>
    </row>
    <row r="397" customFormat="false" ht="15" hidden="false" customHeight="true" outlineLevel="0" collapsed="false">
      <c r="A397" s="8"/>
      <c r="B397" s="9"/>
      <c r="C397" s="9"/>
      <c r="D397" s="9"/>
      <c r="E397" s="9"/>
      <c r="F397" s="9"/>
      <c r="G397" s="9"/>
      <c r="H397" s="9"/>
      <c r="I397" s="8"/>
      <c r="J397" s="8"/>
      <c r="K397" s="9"/>
      <c r="L397" s="10" t="str">
        <f aca="false">IF(OR(I397="",J397=""),"",MAX(0,J397-I397))</f>
        <v/>
      </c>
      <c r="M397" s="9"/>
    </row>
    <row r="398" customFormat="false" ht="15" hidden="false" customHeight="true" outlineLevel="0" collapsed="false">
      <c r="A398" s="8"/>
      <c r="B398" s="9"/>
      <c r="C398" s="9"/>
      <c r="D398" s="9"/>
      <c r="E398" s="9"/>
      <c r="F398" s="9"/>
      <c r="G398" s="9"/>
      <c r="H398" s="9"/>
      <c r="I398" s="8"/>
      <c r="J398" s="8"/>
      <c r="K398" s="9"/>
      <c r="L398" s="10" t="str">
        <f aca="false">IF(OR(I398="",J398=""),"",MAX(0,J398-I398))</f>
        <v/>
      </c>
      <c r="M398" s="9"/>
    </row>
    <row r="399" customFormat="false" ht="15" hidden="false" customHeight="true" outlineLevel="0" collapsed="false">
      <c r="A399" s="8"/>
      <c r="B399" s="9"/>
      <c r="C399" s="9"/>
      <c r="D399" s="9"/>
      <c r="E399" s="9"/>
      <c r="F399" s="9"/>
      <c r="G399" s="9"/>
      <c r="H399" s="9"/>
      <c r="I399" s="8"/>
      <c r="J399" s="8"/>
      <c r="K399" s="9"/>
      <c r="L399" s="10" t="str">
        <f aca="false">IF(OR(I399="",J399=""),"",MAX(0,J399-I399))</f>
        <v/>
      </c>
      <c r="M399" s="9"/>
    </row>
    <row r="400" customFormat="false" ht="15" hidden="false" customHeight="true" outlineLevel="0" collapsed="false">
      <c r="A400" s="8"/>
      <c r="B400" s="9"/>
      <c r="C400" s="9"/>
      <c r="D400" s="9"/>
      <c r="E400" s="9"/>
      <c r="F400" s="9"/>
      <c r="G400" s="9"/>
      <c r="H400" s="9"/>
      <c r="I400" s="8"/>
      <c r="J400" s="8"/>
      <c r="K400" s="9"/>
      <c r="L400" s="10" t="str">
        <f aca="false">IF(OR(I400="",J400=""),"",MAX(0,J400-I400))</f>
        <v/>
      </c>
      <c r="M400" s="9"/>
    </row>
    <row r="401" customFormat="false" ht="15" hidden="false" customHeight="true" outlineLevel="0" collapsed="false">
      <c r="A401" s="8"/>
      <c r="B401" s="9"/>
      <c r="C401" s="9"/>
      <c r="D401" s="9"/>
      <c r="E401" s="9"/>
      <c r="F401" s="9"/>
      <c r="G401" s="9"/>
      <c r="H401" s="9"/>
      <c r="I401" s="8"/>
      <c r="J401" s="8"/>
      <c r="K401" s="9"/>
      <c r="L401" s="10" t="str">
        <f aca="false">IF(OR(I401="",J401=""),"",MAX(0,J401-I401))</f>
        <v/>
      </c>
      <c r="M401" s="9"/>
    </row>
    <row r="402" customFormat="false" ht="15" hidden="false" customHeight="true" outlineLevel="0" collapsed="false">
      <c r="A402" s="8"/>
      <c r="B402" s="9"/>
      <c r="C402" s="9"/>
      <c r="D402" s="9"/>
      <c r="E402" s="9"/>
      <c r="F402" s="9"/>
      <c r="G402" s="9"/>
      <c r="H402" s="9"/>
      <c r="I402" s="8"/>
      <c r="J402" s="8"/>
      <c r="K402" s="9"/>
      <c r="L402" s="10" t="str">
        <f aca="false">IF(OR(I402="",J402=""),"",MAX(0,J402-I402))</f>
        <v/>
      </c>
      <c r="M402" s="9"/>
    </row>
    <row r="403" customFormat="false" ht="15" hidden="false" customHeight="true" outlineLevel="0" collapsed="false">
      <c r="A403" s="8"/>
      <c r="B403" s="9"/>
      <c r="C403" s="9"/>
      <c r="D403" s="9"/>
      <c r="E403" s="9"/>
      <c r="F403" s="9"/>
      <c r="G403" s="9"/>
      <c r="H403" s="9"/>
      <c r="I403" s="8"/>
      <c r="J403" s="8"/>
      <c r="K403" s="9"/>
      <c r="L403" s="10" t="str">
        <f aca="false">IF(OR(I403="",J403=""),"",MAX(0,J403-I403))</f>
        <v/>
      </c>
      <c r="M403" s="9"/>
    </row>
    <row r="404" customFormat="false" ht="15" hidden="false" customHeight="true" outlineLevel="0" collapsed="false">
      <c r="A404" s="8"/>
      <c r="B404" s="9"/>
      <c r="C404" s="9"/>
      <c r="D404" s="9"/>
      <c r="E404" s="9"/>
      <c r="F404" s="9"/>
      <c r="G404" s="9"/>
      <c r="H404" s="9"/>
      <c r="I404" s="8"/>
      <c r="J404" s="8"/>
      <c r="K404" s="9"/>
      <c r="L404" s="10" t="str">
        <f aca="false">IF(OR(I404="",J404=""),"",MAX(0,J404-I404))</f>
        <v/>
      </c>
      <c r="M404" s="9"/>
    </row>
    <row r="405" customFormat="false" ht="15" hidden="false" customHeight="true" outlineLevel="0" collapsed="false">
      <c r="A405" s="8"/>
      <c r="B405" s="9"/>
      <c r="C405" s="9"/>
      <c r="D405" s="9"/>
      <c r="E405" s="9"/>
      <c r="F405" s="9"/>
      <c r="G405" s="9"/>
      <c r="H405" s="9"/>
      <c r="I405" s="8"/>
      <c r="J405" s="8"/>
      <c r="K405" s="9"/>
      <c r="L405" s="10" t="str">
        <f aca="false">IF(OR(I405="",J405=""),"",MAX(0,J405-I405))</f>
        <v/>
      </c>
      <c r="M405" s="9"/>
    </row>
    <row r="406" customFormat="false" ht="15" hidden="false" customHeight="true" outlineLevel="0" collapsed="false">
      <c r="A406" s="8"/>
      <c r="B406" s="9"/>
      <c r="C406" s="9"/>
      <c r="D406" s="9"/>
      <c r="E406" s="9"/>
      <c r="F406" s="9"/>
      <c r="G406" s="9"/>
      <c r="H406" s="9"/>
      <c r="I406" s="8"/>
      <c r="J406" s="8"/>
      <c r="K406" s="9"/>
      <c r="L406" s="10" t="str">
        <f aca="false">IF(OR(I406="",J406=""),"",MAX(0,J406-I406))</f>
        <v/>
      </c>
      <c r="M406" s="9"/>
    </row>
    <row r="407" customFormat="false" ht="15" hidden="false" customHeight="true" outlineLevel="0" collapsed="false">
      <c r="A407" s="8"/>
      <c r="B407" s="9"/>
      <c r="C407" s="9"/>
      <c r="D407" s="9"/>
      <c r="E407" s="9"/>
      <c r="F407" s="9"/>
      <c r="G407" s="9"/>
      <c r="H407" s="9"/>
      <c r="I407" s="8"/>
      <c r="J407" s="8"/>
      <c r="K407" s="9"/>
      <c r="L407" s="10" t="str">
        <f aca="false">IF(OR(I407="",J407=""),"",MAX(0,J407-I407))</f>
        <v/>
      </c>
      <c r="M407" s="9"/>
    </row>
    <row r="408" customFormat="false" ht="15" hidden="false" customHeight="true" outlineLevel="0" collapsed="false">
      <c r="A408" s="8"/>
      <c r="B408" s="9"/>
      <c r="C408" s="9"/>
      <c r="D408" s="9"/>
      <c r="E408" s="9"/>
      <c r="F408" s="9"/>
      <c r="G408" s="9"/>
      <c r="H408" s="9"/>
      <c r="I408" s="8"/>
      <c r="J408" s="8"/>
      <c r="K408" s="9"/>
      <c r="L408" s="10" t="str">
        <f aca="false">IF(OR(I408="",J408=""),"",MAX(0,J408-I408))</f>
        <v/>
      </c>
      <c r="M408" s="9"/>
    </row>
    <row r="409" customFormat="false" ht="15" hidden="false" customHeight="true" outlineLevel="0" collapsed="false">
      <c r="A409" s="8"/>
      <c r="B409" s="9"/>
      <c r="C409" s="9"/>
      <c r="D409" s="9"/>
      <c r="E409" s="9"/>
      <c r="F409" s="9"/>
      <c r="G409" s="9"/>
      <c r="H409" s="9"/>
      <c r="I409" s="8"/>
      <c r="J409" s="8"/>
      <c r="K409" s="9"/>
      <c r="L409" s="10" t="str">
        <f aca="false">IF(OR(I409="",J409=""),"",MAX(0,J409-I409))</f>
        <v/>
      </c>
      <c r="M409" s="9"/>
    </row>
    <row r="410" customFormat="false" ht="15" hidden="false" customHeight="true" outlineLevel="0" collapsed="false">
      <c r="A410" s="8"/>
      <c r="B410" s="9"/>
      <c r="C410" s="9"/>
      <c r="D410" s="9"/>
      <c r="E410" s="9"/>
      <c r="F410" s="9"/>
      <c r="G410" s="9"/>
      <c r="H410" s="9"/>
      <c r="I410" s="8"/>
      <c r="J410" s="8"/>
      <c r="K410" s="9"/>
      <c r="L410" s="10" t="str">
        <f aca="false">IF(OR(I410="",J410=""),"",MAX(0,J410-I410))</f>
        <v/>
      </c>
      <c r="M410" s="9"/>
    </row>
    <row r="411" customFormat="false" ht="15" hidden="false" customHeight="true" outlineLevel="0" collapsed="false">
      <c r="A411" s="8"/>
      <c r="B411" s="9"/>
      <c r="C411" s="9"/>
      <c r="D411" s="9"/>
      <c r="E411" s="9"/>
      <c r="F411" s="9"/>
      <c r="G411" s="9"/>
      <c r="H411" s="9"/>
      <c r="I411" s="8"/>
      <c r="J411" s="8"/>
      <c r="K411" s="9"/>
      <c r="L411" s="10" t="str">
        <f aca="false">IF(OR(I411="",J411=""),"",MAX(0,J411-I411))</f>
        <v/>
      </c>
      <c r="M411" s="9"/>
    </row>
    <row r="412" customFormat="false" ht="15" hidden="false" customHeight="true" outlineLevel="0" collapsed="false">
      <c r="A412" s="8"/>
      <c r="B412" s="9"/>
      <c r="C412" s="9"/>
      <c r="D412" s="9"/>
      <c r="E412" s="9"/>
      <c r="F412" s="9"/>
      <c r="G412" s="9"/>
      <c r="H412" s="9"/>
      <c r="I412" s="8"/>
      <c r="J412" s="8"/>
      <c r="K412" s="9"/>
      <c r="L412" s="10" t="str">
        <f aca="false">IF(OR(I412="",J412=""),"",MAX(0,J412-I412))</f>
        <v/>
      </c>
      <c r="M412" s="9"/>
    </row>
    <row r="413" customFormat="false" ht="15" hidden="false" customHeight="true" outlineLevel="0" collapsed="false">
      <c r="A413" s="8"/>
      <c r="B413" s="9"/>
      <c r="C413" s="9"/>
      <c r="D413" s="9"/>
      <c r="E413" s="9"/>
      <c r="F413" s="9"/>
      <c r="G413" s="9"/>
      <c r="H413" s="9"/>
      <c r="I413" s="8"/>
      <c r="J413" s="8"/>
      <c r="K413" s="9"/>
      <c r="L413" s="10" t="str">
        <f aca="false">IF(OR(I413="",J413=""),"",MAX(0,J413-I413))</f>
        <v/>
      </c>
      <c r="M413" s="9"/>
    </row>
    <row r="414" customFormat="false" ht="15" hidden="false" customHeight="true" outlineLevel="0" collapsed="false">
      <c r="A414" s="8"/>
      <c r="B414" s="9"/>
      <c r="C414" s="9"/>
      <c r="D414" s="9"/>
      <c r="E414" s="9"/>
      <c r="F414" s="9"/>
      <c r="G414" s="9"/>
      <c r="H414" s="9"/>
      <c r="I414" s="8"/>
      <c r="J414" s="8"/>
      <c r="K414" s="9"/>
      <c r="L414" s="10" t="str">
        <f aca="false">IF(OR(I414="",J414=""),"",MAX(0,J414-I414))</f>
        <v/>
      </c>
      <c r="M414" s="9"/>
    </row>
    <row r="415" customFormat="false" ht="15" hidden="false" customHeight="true" outlineLevel="0" collapsed="false">
      <c r="A415" s="8"/>
      <c r="B415" s="9"/>
      <c r="C415" s="9"/>
      <c r="D415" s="9"/>
      <c r="E415" s="9"/>
      <c r="F415" s="9"/>
      <c r="G415" s="9"/>
      <c r="H415" s="9"/>
      <c r="I415" s="8"/>
      <c r="J415" s="8"/>
      <c r="K415" s="9"/>
      <c r="L415" s="10" t="str">
        <f aca="false">IF(OR(I415="",J415=""),"",MAX(0,J415-I415))</f>
        <v/>
      </c>
      <c r="M415" s="9"/>
    </row>
    <row r="416" customFormat="false" ht="15" hidden="false" customHeight="true" outlineLevel="0" collapsed="false">
      <c r="A416" s="8"/>
      <c r="B416" s="9"/>
      <c r="C416" s="9"/>
      <c r="D416" s="9"/>
      <c r="E416" s="9"/>
      <c r="F416" s="9"/>
      <c r="G416" s="9"/>
      <c r="H416" s="9"/>
      <c r="I416" s="8"/>
      <c r="J416" s="8"/>
      <c r="K416" s="9"/>
      <c r="L416" s="10" t="str">
        <f aca="false">IF(OR(I416="",J416=""),"",MAX(0,J416-I416))</f>
        <v/>
      </c>
      <c r="M416" s="9"/>
    </row>
    <row r="417" customFormat="false" ht="15" hidden="false" customHeight="true" outlineLevel="0" collapsed="false">
      <c r="A417" s="8"/>
      <c r="B417" s="9"/>
      <c r="C417" s="9"/>
      <c r="D417" s="9"/>
      <c r="E417" s="9"/>
      <c r="F417" s="9"/>
      <c r="G417" s="9"/>
      <c r="H417" s="9"/>
      <c r="I417" s="8"/>
      <c r="J417" s="8"/>
      <c r="K417" s="9"/>
      <c r="L417" s="10" t="str">
        <f aca="false">IF(OR(I417="",J417=""),"",MAX(0,J417-I417))</f>
        <v/>
      </c>
      <c r="M417" s="9"/>
    </row>
    <row r="418" customFormat="false" ht="15" hidden="false" customHeight="true" outlineLevel="0" collapsed="false">
      <c r="A418" s="8"/>
      <c r="B418" s="9"/>
      <c r="C418" s="9"/>
      <c r="D418" s="9"/>
      <c r="E418" s="9"/>
      <c r="F418" s="9"/>
      <c r="G418" s="9"/>
      <c r="H418" s="9"/>
      <c r="I418" s="8"/>
      <c r="J418" s="8"/>
      <c r="K418" s="9"/>
      <c r="L418" s="10" t="str">
        <f aca="false">IF(OR(I418="",J418=""),"",MAX(0,J418-I418))</f>
        <v/>
      </c>
      <c r="M418" s="9"/>
    </row>
    <row r="419" customFormat="false" ht="15" hidden="false" customHeight="true" outlineLevel="0" collapsed="false">
      <c r="A419" s="8"/>
      <c r="B419" s="9"/>
      <c r="C419" s="9"/>
      <c r="D419" s="9"/>
      <c r="E419" s="9"/>
      <c r="F419" s="9"/>
      <c r="G419" s="9"/>
      <c r="H419" s="9"/>
      <c r="I419" s="8"/>
      <c r="J419" s="8"/>
      <c r="K419" s="9"/>
      <c r="L419" s="10" t="str">
        <f aca="false">IF(OR(I419="",J419=""),"",MAX(0,J419-I419))</f>
        <v/>
      </c>
      <c r="M419" s="9"/>
    </row>
    <row r="420" customFormat="false" ht="15" hidden="false" customHeight="true" outlineLevel="0" collapsed="false">
      <c r="A420" s="8"/>
      <c r="B420" s="9"/>
      <c r="C420" s="9"/>
      <c r="D420" s="9"/>
      <c r="E420" s="9"/>
      <c r="F420" s="9"/>
      <c r="G420" s="9"/>
      <c r="H420" s="9"/>
      <c r="I420" s="8"/>
      <c r="J420" s="8"/>
      <c r="K420" s="9"/>
      <c r="L420" s="10" t="str">
        <f aca="false">IF(OR(I420="",J420=""),"",MAX(0,J420-I420))</f>
        <v/>
      </c>
      <c r="M420" s="9"/>
    </row>
    <row r="421" customFormat="false" ht="15" hidden="false" customHeight="true" outlineLevel="0" collapsed="false">
      <c r="A421" s="8"/>
      <c r="B421" s="9"/>
      <c r="C421" s="9"/>
      <c r="D421" s="9"/>
      <c r="E421" s="9"/>
      <c r="F421" s="9"/>
      <c r="G421" s="9"/>
      <c r="H421" s="9"/>
      <c r="I421" s="8"/>
      <c r="J421" s="8"/>
      <c r="K421" s="9"/>
      <c r="L421" s="10" t="str">
        <f aca="false">IF(OR(I421="",J421=""),"",MAX(0,J421-I421))</f>
        <v/>
      </c>
      <c r="M421" s="9"/>
    </row>
    <row r="422" customFormat="false" ht="15" hidden="false" customHeight="true" outlineLevel="0" collapsed="false">
      <c r="A422" s="8"/>
      <c r="B422" s="9"/>
      <c r="C422" s="9"/>
      <c r="D422" s="9"/>
      <c r="E422" s="9"/>
      <c r="F422" s="9"/>
      <c r="G422" s="9"/>
      <c r="H422" s="9"/>
      <c r="I422" s="8"/>
      <c r="J422" s="8"/>
      <c r="K422" s="9"/>
      <c r="L422" s="10" t="str">
        <f aca="false">IF(OR(I422="",J422=""),"",MAX(0,J422-I422))</f>
        <v/>
      </c>
      <c r="M422" s="9"/>
    </row>
    <row r="423" customFormat="false" ht="15" hidden="false" customHeight="true" outlineLevel="0" collapsed="false">
      <c r="A423" s="8"/>
      <c r="B423" s="9"/>
      <c r="C423" s="9"/>
      <c r="D423" s="9"/>
      <c r="E423" s="9"/>
      <c r="F423" s="9"/>
      <c r="G423" s="9"/>
      <c r="H423" s="9"/>
      <c r="I423" s="8"/>
      <c r="J423" s="8"/>
      <c r="K423" s="9"/>
      <c r="L423" s="10" t="str">
        <f aca="false">IF(OR(I423="",J423=""),"",MAX(0,J423-I423))</f>
        <v/>
      </c>
      <c r="M423" s="9"/>
    </row>
    <row r="424" customFormat="false" ht="15" hidden="false" customHeight="true" outlineLevel="0" collapsed="false">
      <c r="A424" s="8"/>
      <c r="B424" s="9"/>
      <c r="C424" s="9"/>
      <c r="D424" s="9"/>
      <c r="E424" s="9"/>
      <c r="F424" s="9"/>
      <c r="G424" s="9"/>
      <c r="H424" s="9"/>
      <c r="I424" s="8"/>
      <c r="J424" s="8"/>
      <c r="K424" s="9"/>
      <c r="L424" s="10" t="str">
        <f aca="false">IF(OR(I424="",J424=""),"",MAX(0,J424-I424))</f>
        <v/>
      </c>
      <c r="M424" s="9"/>
    </row>
    <row r="425" customFormat="false" ht="15" hidden="false" customHeight="true" outlineLevel="0" collapsed="false">
      <c r="A425" s="8"/>
      <c r="B425" s="9"/>
      <c r="C425" s="9"/>
      <c r="D425" s="9"/>
      <c r="E425" s="9"/>
      <c r="F425" s="9"/>
      <c r="G425" s="9"/>
      <c r="H425" s="9"/>
      <c r="I425" s="8"/>
      <c r="J425" s="8"/>
      <c r="K425" s="9"/>
      <c r="L425" s="10" t="str">
        <f aca="false">IF(OR(I425="",J425=""),"",MAX(0,J425-I425))</f>
        <v/>
      </c>
      <c r="M425" s="9"/>
    </row>
    <row r="426" customFormat="false" ht="15" hidden="false" customHeight="true" outlineLevel="0" collapsed="false">
      <c r="A426" s="8"/>
      <c r="B426" s="9"/>
      <c r="C426" s="9"/>
      <c r="D426" s="9"/>
      <c r="E426" s="9"/>
      <c r="F426" s="9"/>
      <c r="G426" s="9"/>
      <c r="H426" s="9"/>
      <c r="I426" s="8"/>
      <c r="J426" s="8"/>
      <c r="K426" s="9"/>
      <c r="L426" s="10" t="str">
        <f aca="false">IF(OR(I426="",J426=""),"",MAX(0,J426-I426))</f>
        <v/>
      </c>
      <c r="M426" s="9"/>
    </row>
    <row r="427" customFormat="false" ht="15" hidden="false" customHeight="true" outlineLevel="0" collapsed="false">
      <c r="A427" s="8"/>
      <c r="B427" s="9"/>
      <c r="C427" s="9"/>
      <c r="D427" s="9"/>
      <c r="E427" s="9"/>
      <c r="F427" s="9"/>
      <c r="G427" s="9"/>
      <c r="H427" s="9"/>
      <c r="I427" s="8"/>
      <c r="J427" s="8"/>
      <c r="K427" s="9"/>
      <c r="L427" s="10" t="str">
        <f aca="false">IF(OR(I427="",J427=""),"",MAX(0,J427-I427))</f>
        <v/>
      </c>
      <c r="M427" s="9"/>
    </row>
    <row r="428" customFormat="false" ht="15" hidden="false" customHeight="true" outlineLevel="0" collapsed="false">
      <c r="A428" s="8"/>
      <c r="B428" s="9"/>
      <c r="C428" s="9"/>
      <c r="D428" s="9"/>
      <c r="E428" s="9"/>
      <c r="F428" s="9"/>
      <c r="G428" s="9"/>
      <c r="H428" s="9"/>
      <c r="I428" s="8"/>
      <c r="J428" s="8"/>
      <c r="K428" s="9"/>
      <c r="L428" s="10" t="str">
        <f aca="false">IF(OR(I428="",J428=""),"",MAX(0,J428-I428))</f>
        <v/>
      </c>
      <c r="M428" s="9"/>
    </row>
    <row r="429" customFormat="false" ht="15" hidden="false" customHeight="true" outlineLevel="0" collapsed="false">
      <c r="A429" s="8"/>
      <c r="B429" s="9"/>
      <c r="C429" s="9"/>
      <c r="D429" s="9"/>
      <c r="E429" s="9"/>
      <c r="F429" s="9"/>
      <c r="G429" s="9"/>
      <c r="H429" s="9"/>
      <c r="I429" s="8"/>
      <c r="J429" s="8"/>
      <c r="K429" s="9"/>
      <c r="L429" s="10" t="str">
        <f aca="false">IF(OR(I429="",J429=""),"",MAX(0,J429-I429))</f>
        <v/>
      </c>
      <c r="M429" s="9"/>
    </row>
    <row r="430" customFormat="false" ht="15" hidden="false" customHeight="true" outlineLevel="0" collapsed="false">
      <c r="A430" s="8"/>
      <c r="B430" s="9"/>
      <c r="C430" s="9"/>
      <c r="D430" s="9"/>
      <c r="E430" s="9"/>
      <c r="F430" s="9"/>
      <c r="G430" s="9"/>
      <c r="H430" s="9"/>
      <c r="I430" s="8"/>
      <c r="J430" s="8"/>
      <c r="K430" s="9"/>
      <c r="L430" s="10" t="str">
        <f aca="false">IF(OR(I430="",J430=""),"",MAX(0,J430-I430))</f>
        <v/>
      </c>
      <c r="M430" s="9"/>
    </row>
    <row r="431" customFormat="false" ht="15" hidden="false" customHeight="true" outlineLevel="0" collapsed="false">
      <c r="A431" s="8"/>
      <c r="B431" s="9"/>
      <c r="C431" s="9"/>
      <c r="D431" s="9"/>
      <c r="E431" s="9"/>
      <c r="F431" s="9"/>
      <c r="G431" s="9"/>
      <c r="H431" s="9"/>
      <c r="I431" s="8"/>
      <c r="J431" s="8"/>
      <c r="K431" s="9"/>
      <c r="L431" s="10" t="str">
        <f aca="false">IF(OR(I431="",J431=""),"",MAX(0,J431-I431))</f>
        <v/>
      </c>
      <c r="M431" s="9"/>
    </row>
    <row r="432" customFormat="false" ht="15" hidden="false" customHeight="true" outlineLevel="0" collapsed="false">
      <c r="A432" s="8"/>
      <c r="B432" s="9"/>
      <c r="C432" s="9"/>
      <c r="D432" s="9"/>
      <c r="E432" s="9"/>
      <c r="F432" s="9"/>
      <c r="G432" s="9"/>
      <c r="H432" s="9"/>
      <c r="I432" s="8"/>
      <c r="J432" s="8"/>
      <c r="K432" s="9"/>
      <c r="L432" s="10" t="str">
        <f aca="false">IF(OR(I432="",J432=""),"",MAX(0,J432-I432))</f>
        <v/>
      </c>
      <c r="M432" s="9"/>
    </row>
    <row r="433" customFormat="false" ht="15" hidden="false" customHeight="true" outlineLevel="0" collapsed="false">
      <c r="A433" s="8"/>
      <c r="B433" s="9"/>
      <c r="C433" s="9"/>
      <c r="D433" s="9"/>
      <c r="E433" s="9"/>
      <c r="F433" s="9"/>
      <c r="G433" s="9"/>
      <c r="H433" s="9"/>
      <c r="I433" s="8"/>
      <c r="J433" s="8"/>
      <c r="K433" s="9"/>
      <c r="L433" s="10" t="str">
        <f aca="false">IF(OR(I433="",J433=""),"",MAX(0,J433-I433))</f>
        <v/>
      </c>
      <c r="M433" s="9"/>
    </row>
    <row r="434" customFormat="false" ht="15" hidden="false" customHeight="true" outlineLevel="0" collapsed="false">
      <c r="A434" s="8"/>
      <c r="B434" s="9"/>
      <c r="C434" s="9"/>
      <c r="D434" s="9"/>
      <c r="E434" s="9"/>
      <c r="F434" s="9"/>
      <c r="G434" s="9"/>
      <c r="H434" s="9"/>
      <c r="I434" s="8"/>
      <c r="J434" s="8"/>
      <c r="K434" s="9"/>
      <c r="L434" s="10" t="str">
        <f aca="false">IF(OR(I434="",J434=""),"",MAX(0,J434-I434))</f>
        <v/>
      </c>
      <c r="M434" s="9"/>
    </row>
    <row r="435" customFormat="false" ht="15" hidden="false" customHeight="true" outlineLevel="0" collapsed="false">
      <c r="A435" s="8"/>
      <c r="B435" s="9"/>
      <c r="C435" s="9"/>
      <c r="D435" s="9"/>
      <c r="E435" s="9"/>
      <c r="F435" s="9"/>
      <c r="G435" s="9"/>
      <c r="H435" s="9"/>
      <c r="I435" s="8"/>
      <c r="J435" s="8"/>
      <c r="K435" s="9"/>
      <c r="L435" s="10" t="str">
        <f aca="false">IF(OR(I435="",J435=""),"",MAX(0,J435-I435))</f>
        <v/>
      </c>
      <c r="M435" s="9"/>
    </row>
    <row r="436" customFormat="false" ht="15" hidden="false" customHeight="true" outlineLevel="0" collapsed="false">
      <c r="A436" s="8"/>
      <c r="B436" s="9"/>
      <c r="C436" s="9"/>
      <c r="D436" s="9"/>
      <c r="E436" s="9"/>
      <c r="F436" s="9"/>
      <c r="G436" s="9"/>
      <c r="H436" s="9"/>
      <c r="I436" s="8"/>
      <c r="J436" s="8"/>
      <c r="K436" s="9"/>
      <c r="L436" s="10" t="str">
        <f aca="false">IF(OR(I436="",J436=""),"",MAX(0,J436-I436))</f>
        <v/>
      </c>
      <c r="M436" s="9"/>
    </row>
    <row r="437" customFormat="false" ht="15" hidden="false" customHeight="true" outlineLevel="0" collapsed="false">
      <c r="A437" s="8"/>
      <c r="B437" s="9"/>
      <c r="C437" s="9"/>
      <c r="D437" s="9"/>
      <c r="E437" s="9"/>
      <c r="F437" s="9"/>
      <c r="G437" s="9"/>
      <c r="H437" s="9"/>
      <c r="I437" s="8"/>
      <c r="J437" s="8"/>
      <c r="K437" s="9"/>
      <c r="L437" s="10" t="str">
        <f aca="false">IF(OR(I437="",J437=""),"",MAX(0,J437-I437))</f>
        <v/>
      </c>
      <c r="M437" s="9"/>
    </row>
    <row r="438" customFormat="false" ht="15" hidden="false" customHeight="true" outlineLevel="0" collapsed="false">
      <c r="A438" s="8"/>
      <c r="B438" s="9"/>
      <c r="C438" s="9"/>
      <c r="D438" s="9"/>
      <c r="E438" s="9"/>
      <c r="F438" s="9"/>
      <c r="G438" s="9"/>
      <c r="H438" s="9"/>
      <c r="I438" s="8"/>
      <c r="J438" s="8"/>
      <c r="K438" s="9"/>
      <c r="L438" s="10" t="str">
        <f aca="false">IF(OR(I438="",J438=""),"",MAX(0,J438-I438))</f>
        <v/>
      </c>
      <c r="M438" s="9"/>
    </row>
    <row r="439" customFormat="false" ht="15" hidden="false" customHeight="true" outlineLevel="0" collapsed="false">
      <c r="A439" s="8"/>
      <c r="B439" s="9"/>
      <c r="C439" s="9"/>
      <c r="D439" s="9"/>
      <c r="E439" s="9"/>
      <c r="F439" s="9"/>
      <c r="G439" s="9"/>
      <c r="H439" s="9"/>
      <c r="I439" s="8"/>
      <c r="J439" s="8"/>
      <c r="K439" s="9"/>
      <c r="L439" s="10" t="str">
        <f aca="false">IF(OR(I439="",J439=""),"",MAX(0,J439-I439))</f>
        <v/>
      </c>
      <c r="M439" s="9"/>
    </row>
    <row r="440" customFormat="false" ht="15" hidden="false" customHeight="true" outlineLevel="0" collapsed="false">
      <c r="A440" s="8"/>
      <c r="B440" s="9"/>
      <c r="C440" s="9"/>
      <c r="D440" s="9"/>
      <c r="E440" s="9"/>
      <c r="F440" s="9"/>
      <c r="G440" s="9"/>
      <c r="H440" s="9"/>
      <c r="I440" s="8"/>
      <c r="J440" s="8"/>
      <c r="K440" s="9"/>
      <c r="L440" s="10" t="str">
        <f aca="false">IF(OR(I440="",J440=""),"",MAX(0,J440-I440))</f>
        <v/>
      </c>
      <c r="M440" s="9"/>
    </row>
    <row r="441" customFormat="false" ht="15" hidden="false" customHeight="true" outlineLevel="0" collapsed="false">
      <c r="A441" s="8"/>
      <c r="B441" s="9"/>
      <c r="C441" s="9"/>
      <c r="D441" s="9"/>
      <c r="E441" s="9"/>
      <c r="F441" s="9"/>
      <c r="G441" s="9"/>
      <c r="H441" s="9"/>
      <c r="I441" s="8"/>
      <c r="J441" s="8"/>
      <c r="K441" s="9"/>
      <c r="L441" s="10" t="str">
        <f aca="false">IF(OR(I441="",J441=""),"",MAX(0,J441-I441))</f>
        <v/>
      </c>
      <c r="M441" s="9"/>
    </row>
    <row r="442" customFormat="false" ht="15" hidden="false" customHeight="true" outlineLevel="0" collapsed="false">
      <c r="A442" s="8"/>
      <c r="B442" s="9"/>
      <c r="C442" s="9"/>
      <c r="D442" s="9"/>
      <c r="E442" s="9"/>
      <c r="F442" s="9"/>
      <c r="G442" s="9"/>
      <c r="H442" s="9"/>
      <c r="I442" s="8"/>
      <c r="J442" s="8"/>
      <c r="K442" s="9"/>
      <c r="L442" s="10" t="str">
        <f aca="false">IF(OR(I442="",J442=""),"",MAX(0,J442-I442))</f>
        <v/>
      </c>
      <c r="M442" s="9"/>
    </row>
    <row r="443" customFormat="false" ht="15" hidden="false" customHeight="true" outlineLevel="0" collapsed="false">
      <c r="A443" s="8"/>
      <c r="B443" s="9"/>
      <c r="C443" s="9"/>
      <c r="D443" s="9"/>
      <c r="E443" s="9"/>
      <c r="F443" s="9"/>
      <c r="G443" s="9"/>
      <c r="H443" s="9"/>
      <c r="I443" s="8"/>
      <c r="J443" s="8"/>
      <c r="K443" s="9"/>
      <c r="L443" s="10" t="str">
        <f aca="false">IF(OR(I443="",J443=""),"",MAX(0,J443-I443))</f>
        <v/>
      </c>
      <c r="M443" s="9"/>
    </row>
    <row r="444" customFormat="false" ht="15" hidden="false" customHeight="true" outlineLevel="0" collapsed="false">
      <c r="A444" s="8"/>
      <c r="B444" s="9"/>
      <c r="C444" s="9"/>
      <c r="D444" s="9"/>
      <c r="E444" s="9"/>
      <c r="F444" s="9"/>
      <c r="G444" s="9"/>
      <c r="H444" s="9"/>
      <c r="I444" s="8"/>
      <c r="J444" s="8"/>
      <c r="K444" s="9"/>
      <c r="L444" s="10" t="str">
        <f aca="false">IF(OR(I444="",J444=""),"",MAX(0,J444-I444))</f>
        <v/>
      </c>
      <c r="M444" s="9"/>
    </row>
    <row r="445" customFormat="false" ht="15" hidden="false" customHeight="true" outlineLevel="0" collapsed="false">
      <c r="A445" s="8"/>
      <c r="B445" s="9"/>
      <c r="C445" s="9"/>
      <c r="D445" s="9"/>
      <c r="E445" s="9"/>
      <c r="F445" s="9"/>
      <c r="G445" s="9"/>
      <c r="H445" s="9"/>
      <c r="I445" s="8"/>
      <c r="J445" s="8"/>
      <c r="K445" s="9"/>
      <c r="L445" s="10" t="str">
        <f aca="false">IF(OR(I445="",J445=""),"",MAX(0,J445-I445))</f>
        <v/>
      </c>
      <c r="M445" s="9"/>
    </row>
    <row r="446" customFormat="false" ht="15" hidden="false" customHeight="true" outlineLevel="0" collapsed="false">
      <c r="A446" s="8"/>
      <c r="B446" s="9"/>
      <c r="C446" s="9"/>
      <c r="D446" s="9"/>
      <c r="E446" s="9"/>
      <c r="F446" s="9"/>
      <c r="G446" s="9"/>
      <c r="H446" s="9"/>
      <c r="I446" s="8"/>
      <c r="J446" s="8"/>
      <c r="K446" s="9"/>
      <c r="L446" s="10" t="str">
        <f aca="false">IF(OR(I446="",J446=""),"",MAX(0,J446-I446))</f>
        <v/>
      </c>
      <c r="M446" s="9"/>
    </row>
    <row r="447" customFormat="false" ht="15" hidden="false" customHeight="true" outlineLevel="0" collapsed="false">
      <c r="A447" s="8"/>
      <c r="B447" s="9"/>
      <c r="C447" s="9"/>
      <c r="D447" s="9"/>
      <c r="E447" s="9"/>
      <c r="F447" s="9"/>
      <c r="G447" s="9"/>
      <c r="H447" s="9"/>
      <c r="I447" s="8"/>
      <c r="J447" s="8"/>
      <c r="K447" s="9"/>
      <c r="L447" s="10" t="str">
        <f aca="false">IF(OR(I447="",J447=""),"",MAX(0,J447-I447))</f>
        <v/>
      </c>
      <c r="M447" s="9"/>
    </row>
    <row r="448" customFormat="false" ht="15" hidden="false" customHeight="true" outlineLevel="0" collapsed="false">
      <c r="A448" s="8"/>
      <c r="B448" s="9"/>
      <c r="C448" s="9"/>
      <c r="D448" s="9"/>
      <c r="E448" s="9"/>
      <c r="F448" s="9"/>
      <c r="G448" s="9"/>
      <c r="H448" s="9"/>
      <c r="I448" s="8"/>
      <c r="J448" s="8"/>
      <c r="K448" s="9"/>
      <c r="L448" s="10" t="str">
        <f aca="false">IF(OR(I448="",J448=""),"",MAX(0,J448-I448))</f>
        <v/>
      </c>
      <c r="M448" s="9"/>
    </row>
    <row r="449" customFormat="false" ht="15" hidden="false" customHeight="true" outlineLevel="0" collapsed="false">
      <c r="A449" s="8"/>
      <c r="B449" s="9"/>
      <c r="C449" s="9"/>
      <c r="D449" s="9"/>
      <c r="E449" s="9"/>
      <c r="F449" s="9"/>
      <c r="G449" s="9"/>
      <c r="H449" s="9"/>
      <c r="I449" s="8"/>
      <c r="J449" s="8"/>
      <c r="K449" s="9"/>
      <c r="L449" s="10" t="str">
        <f aca="false">IF(OR(I449="",J449=""),"",MAX(0,J449-I449))</f>
        <v/>
      </c>
      <c r="M449" s="9"/>
    </row>
    <row r="450" customFormat="false" ht="15" hidden="false" customHeight="true" outlineLevel="0" collapsed="false">
      <c r="A450" s="8"/>
      <c r="B450" s="9"/>
      <c r="C450" s="9"/>
      <c r="D450" s="9"/>
      <c r="E450" s="9"/>
      <c r="F450" s="9"/>
      <c r="G450" s="9"/>
      <c r="H450" s="9"/>
      <c r="I450" s="8"/>
      <c r="J450" s="8"/>
      <c r="K450" s="9"/>
      <c r="L450" s="10" t="str">
        <f aca="false">IF(OR(I450="",J450=""),"",MAX(0,J450-I450))</f>
        <v/>
      </c>
      <c r="M450" s="9"/>
    </row>
    <row r="451" customFormat="false" ht="15" hidden="false" customHeight="true" outlineLevel="0" collapsed="false">
      <c r="A451" s="8"/>
      <c r="B451" s="9"/>
      <c r="C451" s="9"/>
      <c r="D451" s="9"/>
      <c r="E451" s="9"/>
      <c r="F451" s="9"/>
      <c r="G451" s="9"/>
      <c r="H451" s="9"/>
      <c r="I451" s="8"/>
      <c r="J451" s="8"/>
      <c r="K451" s="9"/>
      <c r="L451" s="10" t="str">
        <f aca="false">IF(OR(I451="",J451=""),"",MAX(0,J451-I451))</f>
        <v/>
      </c>
      <c r="M451" s="9"/>
    </row>
    <row r="452" customFormat="false" ht="15" hidden="false" customHeight="true" outlineLevel="0" collapsed="false">
      <c r="A452" s="8"/>
      <c r="B452" s="9"/>
      <c r="C452" s="9"/>
      <c r="D452" s="9"/>
      <c r="E452" s="9"/>
      <c r="F452" s="9"/>
      <c r="G452" s="9"/>
      <c r="H452" s="9"/>
      <c r="I452" s="8"/>
      <c r="J452" s="8"/>
      <c r="K452" s="9"/>
      <c r="L452" s="10" t="str">
        <f aca="false">IF(OR(I452="",J452=""),"",MAX(0,J452-I452))</f>
        <v/>
      </c>
      <c r="M452" s="9"/>
    </row>
    <row r="453" customFormat="false" ht="15" hidden="false" customHeight="true" outlineLevel="0" collapsed="false">
      <c r="A453" s="8"/>
      <c r="B453" s="9"/>
      <c r="C453" s="9"/>
      <c r="D453" s="9"/>
      <c r="E453" s="9"/>
      <c r="F453" s="9"/>
      <c r="G453" s="9"/>
      <c r="H453" s="9"/>
      <c r="I453" s="8"/>
      <c r="J453" s="8"/>
      <c r="K453" s="9"/>
      <c r="L453" s="10" t="str">
        <f aca="false">IF(OR(I453="",J453=""),"",MAX(0,J453-I453))</f>
        <v/>
      </c>
      <c r="M453" s="9"/>
    </row>
    <row r="454" customFormat="false" ht="15" hidden="false" customHeight="true" outlineLevel="0" collapsed="false">
      <c r="A454" s="8"/>
      <c r="B454" s="9"/>
      <c r="C454" s="9"/>
      <c r="D454" s="9"/>
      <c r="E454" s="9"/>
      <c r="F454" s="9"/>
      <c r="G454" s="9"/>
      <c r="H454" s="9"/>
      <c r="I454" s="8"/>
      <c r="J454" s="8"/>
      <c r="K454" s="9"/>
      <c r="L454" s="10" t="str">
        <f aca="false">IF(OR(I454="",J454=""),"",MAX(0,J454-I454))</f>
        <v/>
      </c>
      <c r="M454" s="9"/>
    </row>
    <row r="455" customFormat="false" ht="15" hidden="false" customHeight="true" outlineLevel="0" collapsed="false">
      <c r="A455" s="8"/>
      <c r="B455" s="9"/>
      <c r="C455" s="9"/>
      <c r="D455" s="9"/>
      <c r="E455" s="9"/>
      <c r="F455" s="9"/>
      <c r="G455" s="9"/>
      <c r="H455" s="9"/>
      <c r="I455" s="8"/>
      <c r="J455" s="8"/>
      <c r="K455" s="9"/>
      <c r="L455" s="10" t="str">
        <f aca="false">IF(OR(I455="",J455=""),"",MAX(0,J455-I455))</f>
        <v/>
      </c>
      <c r="M455" s="9"/>
    </row>
    <row r="456" customFormat="false" ht="15" hidden="false" customHeight="true" outlineLevel="0" collapsed="false">
      <c r="A456" s="8"/>
      <c r="B456" s="9"/>
      <c r="C456" s="9"/>
      <c r="D456" s="9"/>
      <c r="E456" s="9"/>
      <c r="F456" s="9"/>
      <c r="G456" s="9"/>
      <c r="H456" s="9"/>
      <c r="I456" s="8"/>
      <c r="J456" s="8"/>
      <c r="K456" s="9"/>
      <c r="L456" s="10" t="str">
        <f aca="false">IF(OR(I456="",J456=""),"",MAX(0,J456-I456))</f>
        <v/>
      </c>
      <c r="M456" s="9"/>
    </row>
    <row r="457" customFormat="false" ht="15" hidden="false" customHeight="true" outlineLevel="0" collapsed="false">
      <c r="A457" s="8"/>
      <c r="B457" s="9"/>
      <c r="C457" s="9"/>
      <c r="D457" s="9"/>
      <c r="E457" s="9"/>
      <c r="F457" s="9"/>
      <c r="G457" s="9"/>
      <c r="H457" s="9"/>
      <c r="I457" s="8"/>
      <c r="J457" s="8"/>
      <c r="K457" s="9"/>
      <c r="L457" s="10" t="str">
        <f aca="false">IF(OR(I457="",J457=""),"",MAX(0,J457-I457))</f>
        <v/>
      </c>
      <c r="M457" s="9"/>
    </row>
    <row r="458" customFormat="false" ht="15" hidden="false" customHeight="true" outlineLevel="0" collapsed="false">
      <c r="A458" s="8"/>
      <c r="B458" s="9"/>
      <c r="C458" s="9"/>
      <c r="D458" s="9"/>
      <c r="E458" s="9"/>
      <c r="F458" s="9"/>
      <c r="G458" s="9"/>
      <c r="H458" s="9"/>
      <c r="I458" s="8"/>
      <c r="J458" s="8"/>
      <c r="K458" s="9"/>
      <c r="L458" s="10" t="str">
        <f aca="false">IF(OR(I458="",J458=""),"",MAX(0,J458-I458))</f>
        <v/>
      </c>
      <c r="M458" s="9"/>
    </row>
    <row r="459" customFormat="false" ht="15" hidden="false" customHeight="true" outlineLevel="0" collapsed="false">
      <c r="A459" s="8"/>
      <c r="B459" s="9"/>
      <c r="C459" s="9"/>
      <c r="D459" s="9"/>
      <c r="E459" s="9"/>
      <c r="F459" s="9"/>
      <c r="G459" s="9"/>
      <c r="H459" s="9"/>
      <c r="I459" s="8"/>
      <c r="J459" s="8"/>
      <c r="K459" s="9"/>
      <c r="L459" s="10" t="str">
        <f aca="false">IF(OR(I459="",J459=""),"",MAX(0,J459-I459))</f>
        <v/>
      </c>
      <c r="M459" s="9"/>
    </row>
    <row r="460" customFormat="false" ht="15" hidden="false" customHeight="true" outlineLevel="0" collapsed="false">
      <c r="A460" s="8"/>
      <c r="B460" s="9"/>
      <c r="C460" s="9"/>
      <c r="D460" s="9"/>
      <c r="E460" s="9"/>
      <c r="F460" s="9"/>
      <c r="G460" s="9"/>
      <c r="H460" s="9"/>
      <c r="I460" s="8"/>
      <c r="J460" s="8"/>
      <c r="K460" s="9"/>
      <c r="L460" s="10" t="str">
        <f aca="false">IF(OR(I460="",J460=""),"",MAX(0,J460-I460))</f>
        <v/>
      </c>
      <c r="M460" s="9"/>
    </row>
    <row r="461" customFormat="false" ht="15" hidden="false" customHeight="true" outlineLevel="0" collapsed="false">
      <c r="A461" s="8"/>
      <c r="B461" s="9"/>
      <c r="C461" s="9"/>
      <c r="D461" s="9"/>
      <c r="E461" s="9"/>
      <c r="F461" s="9"/>
      <c r="G461" s="9"/>
      <c r="H461" s="9"/>
      <c r="I461" s="8"/>
      <c r="J461" s="8"/>
      <c r="K461" s="9"/>
      <c r="L461" s="10" t="str">
        <f aca="false">IF(OR(I461="",J461=""),"",MAX(0,J461-I461))</f>
        <v/>
      </c>
      <c r="M461" s="9"/>
    </row>
    <row r="462" customFormat="false" ht="15" hidden="false" customHeight="true" outlineLevel="0" collapsed="false">
      <c r="A462" s="8"/>
      <c r="B462" s="9"/>
      <c r="C462" s="9"/>
      <c r="D462" s="9"/>
      <c r="E462" s="9"/>
      <c r="F462" s="9"/>
      <c r="G462" s="9"/>
      <c r="H462" s="9"/>
      <c r="I462" s="8"/>
      <c r="J462" s="8"/>
      <c r="K462" s="9"/>
      <c r="L462" s="10" t="str">
        <f aca="false">IF(OR(I462="",J462=""),"",MAX(0,J462-I462))</f>
        <v/>
      </c>
      <c r="M462" s="9"/>
    </row>
    <row r="463" customFormat="false" ht="15" hidden="false" customHeight="true" outlineLevel="0" collapsed="false">
      <c r="A463" s="8"/>
      <c r="B463" s="9"/>
      <c r="C463" s="9"/>
      <c r="D463" s="9"/>
      <c r="E463" s="9"/>
      <c r="F463" s="9"/>
      <c r="G463" s="9"/>
      <c r="H463" s="9"/>
      <c r="I463" s="8"/>
      <c r="J463" s="8"/>
      <c r="K463" s="9"/>
      <c r="L463" s="10" t="str">
        <f aca="false">IF(OR(I463="",J463=""),"",MAX(0,J463-I463))</f>
        <v/>
      </c>
      <c r="M463" s="9"/>
    </row>
    <row r="464" customFormat="false" ht="15" hidden="false" customHeight="true" outlineLevel="0" collapsed="false">
      <c r="A464" s="8"/>
      <c r="B464" s="9"/>
      <c r="C464" s="9"/>
      <c r="D464" s="9"/>
      <c r="E464" s="9"/>
      <c r="F464" s="9"/>
      <c r="G464" s="9"/>
      <c r="H464" s="9"/>
      <c r="I464" s="8"/>
      <c r="J464" s="8"/>
      <c r="K464" s="9"/>
      <c r="L464" s="10" t="str">
        <f aca="false">IF(OR(I464="",J464=""),"",MAX(0,J464-I464))</f>
        <v/>
      </c>
      <c r="M464" s="9"/>
    </row>
    <row r="465" customFormat="false" ht="15" hidden="false" customHeight="true" outlineLevel="0" collapsed="false">
      <c r="A465" s="8"/>
      <c r="B465" s="9"/>
      <c r="C465" s="9"/>
      <c r="D465" s="9"/>
      <c r="E465" s="9"/>
      <c r="F465" s="9"/>
      <c r="G465" s="9"/>
      <c r="H465" s="9"/>
      <c r="I465" s="8"/>
      <c r="J465" s="8"/>
      <c r="K465" s="9"/>
      <c r="L465" s="10" t="str">
        <f aca="false">IF(OR(I465="",J465=""),"",MAX(0,J465-I465))</f>
        <v/>
      </c>
      <c r="M465" s="9"/>
    </row>
    <row r="466" customFormat="false" ht="15" hidden="false" customHeight="true" outlineLevel="0" collapsed="false">
      <c r="A466" s="8"/>
      <c r="B466" s="9"/>
      <c r="C466" s="9"/>
      <c r="D466" s="9"/>
      <c r="E466" s="9"/>
      <c r="F466" s="9"/>
      <c r="G466" s="9"/>
      <c r="H466" s="9"/>
      <c r="I466" s="8"/>
      <c r="J466" s="8"/>
      <c r="K466" s="9"/>
      <c r="L466" s="10" t="str">
        <f aca="false">IF(OR(I466="",J466=""),"",MAX(0,J466-I466))</f>
        <v/>
      </c>
      <c r="M466" s="9"/>
    </row>
    <row r="467" customFormat="false" ht="15" hidden="false" customHeight="true" outlineLevel="0" collapsed="false">
      <c r="A467" s="8"/>
      <c r="B467" s="9"/>
      <c r="C467" s="9"/>
      <c r="D467" s="9"/>
      <c r="E467" s="9"/>
      <c r="F467" s="9"/>
      <c r="G467" s="9"/>
      <c r="H467" s="9"/>
      <c r="I467" s="8"/>
      <c r="J467" s="8"/>
      <c r="K467" s="9"/>
      <c r="L467" s="10" t="str">
        <f aca="false">IF(OR(I467="",J467=""),"",MAX(0,J467-I467))</f>
        <v/>
      </c>
      <c r="M467" s="9"/>
    </row>
    <row r="468" customFormat="false" ht="15" hidden="false" customHeight="true" outlineLevel="0" collapsed="false">
      <c r="A468" s="8"/>
      <c r="B468" s="9"/>
      <c r="C468" s="9"/>
      <c r="D468" s="9"/>
      <c r="E468" s="9"/>
      <c r="F468" s="9"/>
      <c r="G468" s="9"/>
      <c r="H468" s="9"/>
      <c r="I468" s="8"/>
      <c r="J468" s="8"/>
      <c r="K468" s="9"/>
      <c r="L468" s="10" t="str">
        <f aca="false">IF(OR(I468="",J468=""),"",MAX(0,J468-I468))</f>
        <v/>
      </c>
      <c r="M468" s="9"/>
    </row>
    <row r="469" customFormat="false" ht="15" hidden="false" customHeight="true" outlineLevel="0" collapsed="false">
      <c r="A469" s="8"/>
      <c r="B469" s="9"/>
      <c r="C469" s="9"/>
      <c r="D469" s="9"/>
      <c r="E469" s="9"/>
      <c r="F469" s="9"/>
      <c r="G469" s="9"/>
      <c r="H469" s="9"/>
      <c r="I469" s="8"/>
      <c r="J469" s="8"/>
      <c r="K469" s="9"/>
      <c r="L469" s="10" t="str">
        <f aca="false">IF(OR(I469="",J469=""),"",MAX(0,J469-I469))</f>
        <v/>
      </c>
      <c r="M469" s="9"/>
    </row>
    <row r="470" customFormat="false" ht="15" hidden="false" customHeight="true" outlineLevel="0" collapsed="false">
      <c r="A470" s="8"/>
      <c r="B470" s="9"/>
      <c r="C470" s="9"/>
      <c r="D470" s="9"/>
      <c r="E470" s="9"/>
      <c r="F470" s="9"/>
      <c r="G470" s="9"/>
      <c r="H470" s="9"/>
      <c r="I470" s="8"/>
      <c r="J470" s="8"/>
      <c r="K470" s="9"/>
      <c r="L470" s="10" t="str">
        <f aca="false">IF(OR(I470="",J470=""),"",MAX(0,J470-I470))</f>
        <v/>
      </c>
      <c r="M470" s="9"/>
    </row>
    <row r="471" customFormat="false" ht="15" hidden="false" customHeight="true" outlineLevel="0" collapsed="false">
      <c r="A471" s="8"/>
      <c r="B471" s="9"/>
      <c r="C471" s="9"/>
      <c r="D471" s="9"/>
      <c r="E471" s="9"/>
      <c r="F471" s="9"/>
      <c r="G471" s="9"/>
      <c r="H471" s="9"/>
      <c r="I471" s="8"/>
      <c r="J471" s="8"/>
      <c r="K471" s="9"/>
      <c r="L471" s="10" t="str">
        <f aca="false">IF(OR(I471="",J471=""),"",MAX(0,J471-I471))</f>
        <v/>
      </c>
      <c r="M471" s="9"/>
    </row>
    <row r="472" customFormat="false" ht="15" hidden="false" customHeight="true" outlineLevel="0" collapsed="false">
      <c r="A472" s="8"/>
      <c r="B472" s="9"/>
      <c r="C472" s="9"/>
      <c r="D472" s="9"/>
      <c r="E472" s="9"/>
      <c r="F472" s="9"/>
      <c r="G472" s="9"/>
      <c r="H472" s="9"/>
      <c r="I472" s="8"/>
      <c r="J472" s="8"/>
      <c r="K472" s="9"/>
      <c r="L472" s="10" t="str">
        <f aca="false">IF(OR(I472="",J472=""),"",MAX(0,J472-I472))</f>
        <v/>
      </c>
      <c r="M472" s="9"/>
    </row>
    <row r="473" customFormat="false" ht="15" hidden="false" customHeight="true" outlineLevel="0" collapsed="false">
      <c r="A473" s="8"/>
      <c r="B473" s="9"/>
      <c r="C473" s="9"/>
      <c r="D473" s="9"/>
      <c r="E473" s="9"/>
      <c r="F473" s="9"/>
      <c r="G473" s="9"/>
      <c r="H473" s="9"/>
      <c r="I473" s="8"/>
      <c r="J473" s="8"/>
      <c r="K473" s="9"/>
      <c r="L473" s="10" t="str">
        <f aca="false">IF(OR(I473="",J473=""),"",MAX(0,J473-I473))</f>
        <v/>
      </c>
      <c r="M473" s="9"/>
    </row>
    <row r="474" customFormat="false" ht="15" hidden="false" customHeight="true" outlineLevel="0" collapsed="false">
      <c r="A474" s="8"/>
      <c r="B474" s="9"/>
      <c r="C474" s="9"/>
      <c r="D474" s="9"/>
      <c r="E474" s="9"/>
      <c r="F474" s="9"/>
      <c r="G474" s="9"/>
      <c r="H474" s="9"/>
      <c r="I474" s="8"/>
      <c r="J474" s="8"/>
      <c r="K474" s="9"/>
      <c r="L474" s="10" t="str">
        <f aca="false">IF(OR(I474="",J474=""),"",MAX(0,J474-I474))</f>
        <v/>
      </c>
      <c r="M474" s="9"/>
    </row>
    <row r="475" customFormat="false" ht="15" hidden="false" customHeight="true" outlineLevel="0" collapsed="false">
      <c r="A475" s="8"/>
      <c r="B475" s="9"/>
      <c r="C475" s="9"/>
      <c r="D475" s="9"/>
      <c r="E475" s="9"/>
      <c r="F475" s="9"/>
      <c r="G475" s="9"/>
      <c r="H475" s="9"/>
      <c r="I475" s="8"/>
      <c r="J475" s="8"/>
      <c r="K475" s="9"/>
      <c r="L475" s="10" t="str">
        <f aca="false">IF(OR(I475="",J475=""),"",MAX(0,J475-I475))</f>
        <v/>
      </c>
      <c r="M475" s="9"/>
    </row>
    <row r="476" customFormat="false" ht="15" hidden="false" customHeight="true" outlineLevel="0" collapsed="false">
      <c r="A476" s="8"/>
      <c r="B476" s="9"/>
      <c r="C476" s="9"/>
      <c r="D476" s="9"/>
      <c r="E476" s="9"/>
      <c r="F476" s="9"/>
      <c r="G476" s="9"/>
      <c r="H476" s="9"/>
      <c r="I476" s="8"/>
      <c r="J476" s="8"/>
      <c r="K476" s="9"/>
      <c r="L476" s="10" t="str">
        <f aca="false">IF(OR(I476="",J476=""),"",MAX(0,J476-I476))</f>
        <v/>
      </c>
      <c r="M476" s="9"/>
    </row>
    <row r="477" customFormat="false" ht="15" hidden="false" customHeight="true" outlineLevel="0" collapsed="false">
      <c r="A477" s="8"/>
      <c r="B477" s="9"/>
      <c r="C477" s="9"/>
      <c r="D477" s="9"/>
      <c r="E477" s="9"/>
      <c r="F477" s="9"/>
      <c r="G477" s="9"/>
      <c r="H477" s="9"/>
      <c r="I477" s="8"/>
      <c r="J477" s="8"/>
      <c r="K477" s="9"/>
      <c r="L477" s="10" t="str">
        <f aca="false">IF(OR(I477="",J477=""),"",MAX(0,J477-I477))</f>
        <v/>
      </c>
      <c r="M477" s="9"/>
    </row>
    <row r="478" customFormat="false" ht="15" hidden="false" customHeight="true" outlineLevel="0" collapsed="false">
      <c r="A478" s="8"/>
      <c r="B478" s="9"/>
      <c r="C478" s="9"/>
      <c r="D478" s="9"/>
      <c r="E478" s="9"/>
      <c r="F478" s="9"/>
      <c r="G478" s="9"/>
      <c r="H478" s="9"/>
      <c r="I478" s="8"/>
      <c r="J478" s="8"/>
      <c r="K478" s="9"/>
      <c r="L478" s="10" t="str">
        <f aca="false">IF(OR(I478="",J478=""),"",MAX(0,J478-I478))</f>
        <v/>
      </c>
      <c r="M478" s="9"/>
    </row>
    <row r="479" customFormat="false" ht="15" hidden="false" customHeight="true" outlineLevel="0" collapsed="false">
      <c r="A479" s="8"/>
      <c r="B479" s="9"/>
      <c r="C479" s="9"/>
      <c r="D479" s="9"/>
      <c r="E479" s="9"/>
      <c r="F479" s="9"/>
      <c r="G479" s="9"/>
      <c r="H479" s="9"/>
      <c r="I479" s="8"/>
      <c r="J479" s="8"/>
      <c r="K479" s="9"/>
      <c r="L479" s="10" t="str">
        <f aca="false">IF(OR(I479="",J479=""),"",MAX(0,J479-I479))</f>
        <v/>
      </c>
      <c r="M479" s="9"/>
    </row>
    <row r="480" customFormat="false" ht="15" hidden="false" customHeight="true" outlineLevel="0" collapsed="false">
      <c r="A480" s="8"/>
      <c r="B480" s="9"/>
      <c r="C480" s="9"/>
      <c r="D480" s="9"/>
      <c r="E480" s="9"/>
      <c r="F480" s="9"/>
      <c r="G480" s="9"/>
      <c r="H480" s="9"/>
      <c r="I480" s="8"/>
      <c r="J480" s="8"/>
      <c r="K480" s="9"/>
      <c r="L480" s="10" t="str">
        <f aca="false">IF(OR(I480="",J480=""),"",MAX(0,J480-I480))</f>
        <v/>
      </c>
      <c r="M480" s="9"/>
    </row>
    <row r="481" customFormat="false" ht="15" hidden="false" customHeight="true" outlineLevel="0" collapsed="false">
      <c r="A481" s="8"/>
      <c r="B481" s="9"/>
      <c r="C481" s="9"/>
      <c r="D481" s="9"/>
      <c r="E481" s="9"/>
      <c r="F481" s="9"/>
      <c r="G481" s="9"/>
      <c r="H481" s="9"/>
      <c r="I481" s="8"/>
      <c r="J481" s="8"/>
      <c r="K481" s="9"/>
      <c r="L481" s="10" t="str">
        <f aca="false">IF(OR(I481="",J481=""),"",MAX(0,J481-I481))</f>
        <v/>
      </c>
      <c r="M481" s="9"/>
    </row>
    <row r="482" customFormat="false" ht="15" hidden="false" customHeight="true" outlineLevel="0" collapsed="false">
      <c r="A482" s="8"/>
      <c r="B482" s="9"/>
      <c r="C482" s="9"/>
      <c r="D482" s="9"/>
      <c r="E482" s="9"/>
      <c r="F482" s="9"/>
      <c r="G482" s="9"/>
      <c r="H482" s="9"/>
      <c r="I482" s="8"/>
      <c r="J482" s="8"/>
      <c r="K482" s="9"/>
      <c r="L482" s="10" t="str">
        <f aca="false">IF(OR(I482="",J482=""),"",MAX(0,J482-I482))</f>
        <v/>
      </c>
      <c r="M482" s="9"/>
    </row>
    <row r="483" customFormat="false" ht="15" hidden="false" customHeight="true" outlineLevel="0" collapsed="false">
      <c r="A483" s="8"/>
      <c r="B483" s="9"/>
      <c r="C483" s="9"/>
      <c r="D483" s="9"/>
      <c r="E483" s="9"/>
      <c r="F483" s="9"/>
      <c r="G483" s="9"/>
      <c r="H483" s="9"/>
      <c r="I483" s="8"/>
      <c r="J483" s="8"/>
      <c r="K483" s="9"/>
      <c r="L483" s="10" t="str">
        <f aca="false">IF(OR(I483="",J483=""),"",MAX(0,J483-I483))</f>
        <v/>
      </c>
      <c r="M483" s="9"/>
    </row>
    <row r="484" customFormat="false" ht="15" hidden="false" customHeight="true" outlineLevel="0" collapsed="false">
      <c r="A484" s="8"/>
      <c r="B484" s="9"/>
      <c r="C484" s="9"/>
      <c r="D484" s="9"/>
      <c r="E484" s="9"/>
      <c r="F484" s="9"/>
      <c r="G484" s="9"/>
      <c r="H484" s="9"/>
      <c r="I484" s="8"/>
      <c r="J484" s="8"/>
      <c r="K484" s="9"/>
      <c r="L484" s="10" t="str">
        <f aca="false">IF(OR(I484="",J484=""),"",MAX(0,J484-I484))</f>
        <v/>
      </c>
      <c r="M484" s="9"/>
    </row>
    <row r="485" customFormat="false" ht="15" hidden="false" customHeight="true" outlineLevel="0" collapsed="false">
      <c r="A485" s="8"/>
      <c r="B485" s="9"/>
      <c r="C485" s="9"/>
      <c r="D485" s="9"/>
      <c r="E485" s="9"/>
      <c r="F485" s="9"/>
      <c r="G485" s="9"/>
      <c r="H485" s="9"/>
      <c r="I485" s="8"/>
      <c r="J485" s="8"/>
      <c r="K485" s="9"/>
      <c r="L485" s="10" t="str">
        <f aca="false">IF(OR(I485="",J485=""),"",MAX(0,J485-I485))</f>
        <v/>
      </c>
      <c r="M485" s="9"/>
    </row>
    <row r="486" customFormat="false" ht="15" hidden="false" customHeight="true" outlineLevel="0" collapsed="false">
      <c r="A486" s="8"/>
      <c r="B486" s="9"/>
      <c r="C486" s="9"/>
      <c r="D486" s="9"/>
      <c r="E486" s="9"/>
      <c r="F486" s="9"/>
      <c r="G486" s="9"/>
      <c r="H486" s="9"/>
      <c r="I486" s="8"/>
      <c r="J486" s="8"/>
      <c r="K486" s="9"/>
      <c r="L486" s="10" t="str">
        <f aca="false">IF(OR(I486="",J486=""),"",MAX(0,J486-I486))</f>
        <v/>
      </c>
      <c r="M486" s="9"/>
    </row>
    <row r="487" customFormat="false" ht="15" hidden="false" customHeight="true" outlineLevel="0" collapsed="false">
      <c r="A487" s="8"/>
      <c r="B487" s="9"/>
      <c r="C487" s="9"/>
      <c r="D487" s="9"/>
      <c r="E487" s="9"/>
      <c r="F487" s="9"/>
      <c r="G487" s="9"/>
      <c r="H487" s="9"/>
      <c r="I487" s="8"/>
      <c r="J487" s="8"/>
      <c r="K487" s="9"/>
      <c r="L487" s="10" t="str">
        <f aca="false">IF(OR(I487="",J487=""),"",MAX(0,J487-I487))</f>
        <v/>
      </c>
      <c r="M487" s="9"/>
    </row>
    <row r="488" customFormat="false" ht="15" hidden="false" customHeight="true" outlineLevel="0" collapsed="false">
      <c r="A488" s="8"/>
      <c r="B488" s="9"/>
      <c r="C488" s="9"/>
      <c r="D488" s="9"/>
      <c r="E488" s="9"/>
      <c r="F488" s="9"/>
      <c r="G488" s="9"/>
      <c r="H488" s="9"/>
      <c r="I488" s="8"/>
      <c r="J488" s="8"/>
      <c r="K488" s="9"/>
      <c r="L488" s="10" t="str">
        <f aca="false">IF(OR(I488="",J488=""),"",MAX(0,J488-I488))</f>
        <v/>
      </c>
      <c r="M488" s="9"/>
    </row>
    <row r="489" customFormat="false" ht="15" hidden="false" customHeight="true" outlineLevel="0" collapsed="false">
      <c r="A489" s="8"/>
      <c r="B489" s="9"/>
      <c r="C489" s="9"/>
      <c r="D489" s="9"/>
      <c r="E489" s="9"/>
      <c r="F489" s="9"/>
      <c r="G489" s="9"/>
      <c r="H489" s="9"/>
      <c r="I489" s="8"/>
      <c r="J489" s="8"/>
      <c r="K489" s="9"/>
      <c r="L489" s="10" t="str">
        <f aca="false">IF(OR(I489="",J489=""),"",MAX(0,J489-I489))</f>
        <v/>
      </c>
      <c r="M489" s="9"/>
    </row>
    <row r="490" customFormat="false" ht="15" hidden="false" customHeight="true" outlineLevel="0" collapsed="false">
      <c r="A490" s="8"/>
      <c r="B490" s="9"/>
      <c r="C490" s="9"/>
      <c r="D490" s="9"/>
      <c r="E490" s="9"/>
      <c r="F490" s="9"/>
      <c r="G490" s="9"/>
      <c r="H490" s="9"/>
      <c r="I490" s="8"/>
      <c r="J490" s="8"/>
      <c r="K490" s="9"/>
      <c r="L490" s="10" t="str">
        <f aca="false">IF(OR(I490="",J490=""),"",MAX(0,J490-I490))</f>
        <v/>
      </c>
      <c r="M490" s="9"/>
    </row>
    <row r="491" customFormat="false" ht="15" hidden="false" customHeight="true" outlineLevel="0" collapsed="false">
      <c r="A491" s="8"/>
      <c r="B491" s="9"/>
      <c r="C491" s="9"/>
      <c r="D491" s="9"/>
      <c r="E491" s="9"/>
      <c r="F491" s="9"/>
      <c r="G491" s="9"/>
      <c r="H491" s="9"/>
      <c r="I491" s="8"/>
      <c r="J491" s="8"/>
      <c r="K491" s="9"/>
      <c r="L491" s="10" t="str">
        <f aca="false">IF(OR(I491="",J491=""),"",MAX(0,J491-I491))</f>
        <v/>
      </c>
      <c r="M491" s="9"/>
    </row>
    <row r="492" customFormat="false" ht="15" hidden="false" customHeight="true" outlineLevel="0" collapsed="false">
      <c r="A492" s="8"/>
      <c r="B492" s="9"/>
      <c r="C492" s="9"/>
      <c r="D492" s="9"/>
      <c r="E492" s="9"/>
      <c r="F492" s="9"/>
      <c r="G492" s="9"/>
      <c r="H492" s="9"/>
      <c r="I492" s="8"/>
      <c r="J492" s="8"/>
      <c r="K492" s="9"/>
      <c r="L492" s="10" t="str">
        <f aca="false">IF(OR(I492="",J492=""),"",MAX(0,J492-I492))</f>
        <v/>
      </c>
      <c r="M492" s="9"/>
    </row>
    <row r="493" customFormat="false" ht="15" hidden="false" customHeight="true" outlineLevel="0" collapsed="false">
      <c r="A493" s="8"/>
      <c r="B493" s="9"/>
      <c r="C493" s="9"/>
      <c r="D493" s="9"/>
      <c r="E493" s="9"/>
      <c r="F493" s="9"/>
      <c r="G493" s="9"/>
      <c r="H493" s="9"/>
      <c r="I493" s="8"/>
      <c r="J493" s="8"/>
      <c r="K493" s="9"/>
      <c r="L493" s="10" t="str">
        <f aca="false">IF(OR(I493="",J493=""),"",MAX(0,J493-I493))</f>
        <v/>
      </c>
      <c r="M493" s="9"/>
    </row>
    <row r="494" customFormat="false" ht="15" hidden="false" customHeight="true" outlineLevel="0" collapsed="false">
      <c r="A494" s="8"/>
      <c r="B494" s="9"/>
      <c r="C494" s="9"/>
      <c r="D494" s="9"/>
      <c r="E494" s="9"/>
      <c r="F494" s="9"/>
      <c r="G494" s="9"/>
      <c r="H494" s="9"/>
      <c r="I494" s="8"/>
      <c r="J494" s="8"/>
      <c r="K494" s="9"/>
      <c r="L494" s="10" t="str">
        <f aca="false">IF(OR(I494="",J494=""),"",MAX(0,J494-I494))</f>
        <v/>
      </c>
      <c r="M494" s="9"/>
    </row>
    <row r="495" customFormat="false" ht="15" hidden="false" customHeight="true" outlineLevel="0" collapsed="false">
      <c r="A495" s="8"/>
      <c r="B495" s="9"/>
      <c r="C495" s="9"/>
      <c r="D495" s="9"/>
      <c r="E495" s="9"/>
      <c r="F495" s="9"/>
      <c r="G495" s="9"/>
      <c r="H495" s="9"/>
      <c r="I495" s="8"/>
      <c r="J495" s="8"/>
      <c r="K495" s="9"/>
      <c r="L495" s="10" t="str">
        <f aca="false">IF(OR(I495="",J495=""),"",MAX(0,J495-I495))</f>
        <v/>
      </c>
      <c r="M495" s="9"/>
    </row>
    <row r="496" customFormat="false" ht="15" hidden="false" customHeight="true" outlineLevel="0" collapsed="false">
      <c r="A496" s="8"/>
      <c r="B496" s="9"/>
      <c r="C496" s="9"/>
      <c r="D496" s="9"/>
      <c r="E496" s="9"/>
      <c r="F496" s="9"/>
      <c r="G496" s="9"/>
      <c r="H496" s="9"/>
      <c r="I496" s="8"/>
      <c r="J496" s="8"/>
      <c r="K496" s="9"/>
      <c r="L496" s="10" t="str">
        <f aca="false">IF(OR(I496="",J496=""),"",MAX(0,J496-I496))</f>
        <v/>
      </c>
      <c r="M496" s="9"/>
    </row>
    <row r="497" customFormat="false" ht="15" hidden="false" customHeight="true" outlineLevel="0" collapsed="false">
      <c r="A497" s="8"/>
      <c r="B497" s="9"/>
      <c r="C497" s="9"/>
      <c r="D497" s="9"/>
      <c r="E497" s="9"/>
      <c r="F497" s="9"/>
      <c r="G497" s="9"/>
      <c r="H497" s="9"/>
      <c r="I497" s="8"/>
      <c r="J497" s="8"/>
      <c r="K497" s="9"/>
      <c r="L497" s="10" t="str">
        <f aca="false">IF(OR(I497="",J497=""),"",MAX(0,J497-I497))</f>
        <v/>
      </c>
      <c r="M497" s="9"/>
    </row>
    <row r="498" customFormat="false" ht="15" hidden="false" customHeight="true" outlineLevel="0" collapsed="false">
      <c r="A498" s="8"/>
      <c r="B498" s="9"/>
      <c r="C498" s="9"/>
      <c r="D498" s="9"/>
      <c r="E498" s="9"/>
      <c r="F498" s="9"/>
      <c r="G498" s="9"/>
      <c r="H498" s="9"/>
      <c r="I498" s="8"/>
      <c r="J498" s="8"/>
      <c r="K498" s="9"/>
      <c r="L498" s="10" t="str">
        <f aca="false">IF(OR(I498="",J498=""),"",MAX(0,J498-I498))</f>
        <v/>
      </c>
      <c r="M498" s="9"/>
    </row>
    <row r="499" customFormat="false" ht="15" hidden="false" customHeight="true" outlineLevel="0" collapsed="false">
      <c r="A499" s="8"/>
      <c r="B499" s="9"/>
      <c r="C499" s="9"/>
      <c r="D499" s="9"/>
      <c r="E499" s="9"/>
      <c r="F499" s="9"/>
      <c r="G499" s="9"/>
      <c r="H499" s="9"/>
      <c r="I499" s="8"/>
      <c r="J499" s="8"/>
      <c r="K499" s="9"/>
      <c r="L499" s="10" t="str">
        <f aca="false">IF(OR(I499="",J499=""),"",MAX(0,J499-I499))</f>
        <v/>
      </c>
      <c r="M499" s="9"/>
    </row>
    <row r="500" customFormat="false" ht="15" hidden="false" customHeight="true" outlineLevel="0" collapsed="false">
      <c r="A500" s="8"/>
      <c r="B500" s="9"/>
      <c r="C500" s="9"/>
      <c r="D500" s="9"/>
      <c r="E500" s="9"/>
      <c r="F500" s="9"/>
      <c r="G500" s="9"/>
      <c r="H500" s="9"/>
      <c r="I500" s="8"/>
      <c r="J500" s="8"/>
      <c r="K500" s="9"/>
      <c r="L500" s="10" t="str">
        <f aca="false">IF(OR(I500="",J500=""),"",MAX(0,J500-I500))</f>
        <v/>
      </c>
      <c r="M500" s="9"/>
    </row>
    <row r="501" customFormat="false" ht="15" hidden="false" customHeight="true" outlineLevel="0" collapsed="false">
      <c r="A501" s="8"/>
      <c r="B501" s="9"/>
      <c r="C501" s="9"/>
      <c r="D501" s="9"/>
      <c r="E501" s="9"/>
      <c r="F501" s="9"/>
      <c r="G501" s="9"/>
      <c r="H501" s="9"/>
      <c r="I501" s="8"/>
      <c r="J501" s="8"/>
      <c r="K501" s="9"/>
      <c r="L501" s="10" t="str">
        <f aca="false">IF(OR(I501="",J501=""),"",MAX(0,J501-I501))</f>
        <v/>
      </c>
      <c r="M501" s="9"/>
    </row>
    <row r="502" customFormat="false" ht="15" hidden="false" customHeight="true" outlineLevel="0" collapsed="false">
      <c r="A502" s="8"/>
      <c r="B502" s="9"/>
      <c r="C502" s="9"/>
      <c r="D502" s="9"/>
      <c r="E502" s="9"/>
      <c r="F502" s="9"/>
      <c r="G502" s="9"/>
      <c r="H502" s="9"/>
      <c r="I502" s="8"/>
      <c r="J502" s="8"/>
      <c r="K502" s="9"/>
      <c r="L502" s="10" t="str">
        <f aca="false">IF(OR(I502="",J502=""),"",MAX(0,J502-I502))</f>
        <v/>
      </c>
      <c r="M502" s="9"/>
    </row>
    <row r="503" customFormat="false" ht="15" hidden="false" customHeight="true" outlineLevel="0" collapsed="false">
      <c r="A503" s="8"/>
      <c r="B503" s="9"/>
      <c r="C503" s="9"/>
      <c r="D503" s="9"/>
      <c r="E503" s="9"/>
      <c r="F503" s="9"/>
      <c r="G503" s="9"/>
      <c r="H503" s="9"/>
      <c r="I503" s="8"/>
      <c r="J503" s="8"/>
      <c r="K503" s="9"/>
      <c r="L503" s="10" t="str">
        <f aca="false">IF(OR(I503="",J503=""),"",MAX(0,J503-I503))</f>
        <v/>
      </c>
      <c r="M503" s="9"/>
    </row>
  </sheetData>
  <mergeCells count="1">
    <mergeCell ref="A1:M1"/>
  </mergeCells>
  <dataValidations count="8">
    <dataValidation allowBlank="true" error="اكتب تاريخ زي 2026-10-20" errorStyle="stop" operator="greaterThan" showDropDown="false" showErrorMessage="true" showInputMessage="false" sqref="A4:A503 I4:J503" type="date">
      <formula1>44927</formula1>
      <formula2>0</formula2>
    </dataValidation>
    <dataValidation allowBlank="true" error="اختار من القائمة اللي بتنزل" errorStyle="stop" errorTitle="اختيار من القائمة" operator="between" showDropDown="false" showErrorMessage="true" showInputMessage="false" sqref="C4:C503" type="list">
      <formula1>القوائم!$A$2:$A$7</formula1>
      <formula2>0</formula2>
    </dataValidation>
    <dataValidation allowBlank="true" error="اختار من القائمة اللي بتنزل" errorStyle="stop" errorTitle="اختيار من القائمة" operator="between" showDropDown="false" showErrorMessage="true" showInputMessage="false" sqref="D4:D503" type="list">
      <formula1>القوائم!$B$2:$B$6</formula1>
      <formula2>0</formula2>
    </dataValidation>
    <dataValidation allowBlank="true" error="اختار من القائمة اللي بتنزل" errorStyle="stop" errorTitle="اختيار من القائمة" operator="between" showDropDown="false" showErrorMessage="true" showInputMessage="false" sqref="E4:E503" type="list">
      <formula1>القوائم!$C$2:$C$3</formula1>
      <formula2>0</formula2>
    </dataValidation>
    <dataValidation allowBlank="true" error="اختار من القائمة اللي بتنزل" errorStyle="stop" errorTitle="اختيار من القائمة" operator="between" showDropDown="false" showErrorMessage="true" showInputMessage="false" sqref="F4:F503" type="list">
      <formula1>القوائم!$D$2:$D$3</formula1>
      <formula2>0</formula2>
    </dataValidation>
    <dataValidation allowBlank="true" error="اختار من القائمة اللي بتنزل" errorStyle="stop" errorTitle="اختيار من القائمة" operator="between" showDropDown="false" showErrorMessage="true" showInputMessage="false" sqref="G4:G503" type="list">
      <formula1>القوائم!$E$2:$E$4</formula1>
      <formula2>0</formula2>
    </dataValidation>
    <dataValidation allowBlank="true" error="اكتب رقم بس" errorStyle="stop" operator="between" showDropDown="false" showErrorMessage="true" showInputMessage="false" sqref="H4:H503" type="decimal">
      <formula1>0</formula1>
      <formula2>100000</formula2>
    </dataValidation>
    <dataValidation allowBlank="true" error="اختار من القائمة اللي بتنزل" errorStyle="stop" errorTitle="اختيار من القائمة" operator="between" showDropDown="false" showErrorMessage="true" showInputMessage="false" sqref="K4:K503" type="list">
      <formula1>القوائم!$F$2:$F$6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0"/>
    <col collapsed="false" customWidth="true" hidden="false" outlineLevel="0" max="4" min="4" style="1" width="9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8" min="7" style="1" width="13"/>
    <col collapsed="false" customWidth="true" hidden="false" outlineLevel="0" max="9" min="9" style="1" width="9"/>
    <col collapsed="false" customWidth="true" hidden="false" outlineLevel="0" max="10" min="10" style="1" width="10"/>
    <col collapsed="false" customWidth="true" hidden="false" outlineLevel="0" max="11" min="11" style="1" width="13"/>
    <col collapsed="false" customWidth="true" hidden="false" outlineLevel="0" max="12" min="12" style="1" width="12"/>
    <col collapsed="false" customWidth="true" hidden="false" outlineLevel="0" max="13" min="13" style="1" width="9"/>
    <col collapsed="false" customWidth="true" hidden="false" outlineLevel="0" max="14" min="14" style="1" width="30"/>
  </cols>
  <sheetData>
    <row r="1" customFormat="false" ht="15" hidden="false" customHeight="true" outlineLevel="0" collapsed="false">
      <c r="A1" s="4" t="s">
        <v>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33.75" hidden="false" customHeight="true" outlineLevel="0" collapsed="false">
      <c r="A2" s="5" t="s">
        <v>72</v>
      </c>
      <c r="B2" s="5" t="s">
        <v>73</v>
      </c>
      <c r="C2" s="5" t="s">
        <v>74</v>
      </c>
      <c r="D2" s="5" t="s">
        <v>75</v>
      </c>
      <c r="E2" s="5" t="s">
        <v>76</v>
      </c>
      <c r="F2" s="5" t="s">
        <v>24</v>
      </c>
      <c r="G2" s="5" t="s">
        <v>77</v>
      </c>
      <c r="H2" s="5" t="s">
        <v>78</v>
      </c>
      <c r="I2" s="5" t="s">
        <v>79</v>
      </c>
      <c r="J2" s="5" t="s">
        <v>80</v>
      </c>
      <c r="K2" s="5" t="s">
        <v>81</v>
      </c>
      <c r="L2" s="5" t="s">
        <v>82</v>
      </c>
      <c r="M2" s="5" t="s">
        <v>83</v>
      </c>
      <c r="N2" s="5" t="s">
        <v>84</v>
      </c>
    </row>
    <row r="3" customFormat="false" ht="15" hidden="false" customHeight="true" outlineLevel="0" collapsed="false">
      <c r="A3" s="6" t="n">
        <v>46315</v>
      </c>
      <c r="B3" s="11" t="n">
        <v>0.375</v>
      </c>
      <c r="C3" s="11" t="n">
        <v>0.479166666666667</v>
      </c>
      <c r="D3" s="7" t="n">
        <v>1</v>
      </c>
      <c r="E3" s="7" t="s">
        <v>85</v>
      </c>
      <c r="F3" s="7" t="s">
        <v>36</v>
      </c>
      <c r="G3" s="7" t="n">
        <v>14</v>
      </c>
      <c r="H3" s="7" t="n">
        <v>12.6</v>
      </c>
      <c r="I3" s="12" t="n">
        <f aca="false">IF(OR(G3="",H3=""),"",1-H3/G3)</f>
        <v>0.1</v>
      </c>
      <c r="J3" s="7" t="n">
        <f aca="false">IF(OR(B3="",C3=""),"",ROUND(MOD(C3-B3,1)*1440,0))</f>
        <v>150</v>
      </c>
      <c r="K3" s="7" t="s">
        <v>86</v>
      </c>
      <c r="L3" s="7" t="s">
        <v>87</v>
      </c>
      <c r="M3" s="7" t="s">
        <v>88</v>
      </c>
      <c r="N3" s="7" t="s">
        <v>89</v>
      </c>
    </row>
    <row r="4" customFormat="false" ht="15" hidden="false" customHeight="true" outlineLevel="0" collapsed="false">
      <c r="A4" s="8" t="n">
        <v>46298</v>
      </c>
      <c r="B4" s="13" t="n">
        <v>0.363888888888889</v>
      </c>
      <c r="C4" s="13" t="n">
        <v>0.436111111111111</v>
      </c>
      <c r="D4" s="9" t="n">
        <v>1</v>
      </c>
      <c r="E4" s="9" t="s">
        <v>90</v>
      </c>
      <c r="F4" s="9" t="s">
        <v>36</v>
      </c>
      <c r="G4" s="9" t="n">
        <v>8</v>
      </c>
      <c r="H4" s="9" t="n">
        <v>7.3</v>
      </c>
      <c r="I4" s="14" t="n">
        <f aca="false">IF(OR(G4="",H4=""),"",1-H4/G4)</f>
        <v>0.0875</v>
      </c>
      <c r="J4" s="10" t="n">
        <f aca="false">IF(OR(B4="",C4=""),"",ROUND(MOD(C4-B4,1)*1440,0))</f>
        <v>104</v>
      </c>
      <c r="K4" s="9" t="s">
        <v>91</v>
      </c>
      <c r="L4" s="9" t="s">
        <v>87</v>
      </c>
      <c r="M4" s="9" t="s">
        <v>88</v>
      </c>
      <c r="N4" s="9"/>
    </row>
    <row r="5" customFormat="false" ht="15" hidden="false" customHeight="true" outlineLevel="0" collapsed="false">
      <c r="A5" s="8" t="n">
        <v>46298</v>
      </c>
      <c r="B5" s="13" t="n">
        <v>0.441666666666667</v>
      </c>
      <c r="C5" s="13" t="n">
        <v>0.540972222222222</v>
      </c>
      <c r="D5" s="9" t="n">
        <v>1</v>
      </c>
      <c r="E5" s="9" t="s">
        <v>85</v>
      </c>
      <c r="F5" s="9" t="s">
        <v>36</v>
      </c>
      <c r="G5" s="9" t="n">
        <v>13.3</v>
      </c>
      <c r="H5" s="9" t="n">
        <v>11.9</v>
      </c>
      <c r="I5" s="14" t="n">
        <f aca="false">IF(OR(G5="",H5=""),"",1-H5/G5)</f>
        <v>0.105263157894737</v>
      </c>
      <c r="J5" s="10" t="n">
        <f aca="false">IF(OR(B5="",C5=""),"",ROUND(MOD(C5-B5,1)*1440,0))</f>
        <v>143</v>
      </c>
      <c r="K5" s="9" t="s">
        <v>86</v>
      </c>
      <c r="L5" s="9" t="s">
        <v>87</v>
      </c>
      <c r="M5" s="9" t="s">
        <v>88</v>
      </c>
      <c r="N5" s="9"/>
    </row>
    <row r="6" customFormat="false" ht="15" hidden="false" customHeight="true" outlineLevel="0" collapsed="false">
      <c r="A6" s="8" t="n">
        <v>46298</v>
      </c>
      <c r="B6" s="13" t="n">
        <v>0.547916666666667</v>
      </c>
      <c r="C6" s="13" t="n">
        <v>0.624305555555556</v>
      </c>
      <c r="D6" s="9" t="n">
        <v>1</v>
      </c>
      <c r="E6" s="9" t="s">
        <v>90</v>
      </c>
      <c r="F6" s="9" t="s">
        <v>36</v>
      </c>
      <c r="G6" s="9" t="n">
        <v>8</v>
      </c>
      <c r="H6" s="9" t="n">
        <v>7.2</v>
      </c>
      <c r="I6" s="14" t="n">
        <f aca="false">IF(OR(G6="",H6=""),"",1-H6/G6)</f>
        <v>0.1</v>
      </c>
      <c r="J6" s="10" t="n">
        <f aca="false">IF(OR(B6="",C6=""),"",ROUND(MOD(C6-B6,1)*1440,0))</f>
        <v>110</v>
      </c>
      <c r="K6" s="9" t="s">
        <v>86</v>
      </c>
      <c r="L6" s="9" t="s">
        <v>87</v>
      </c>
      <c r="M6" s="9" t="s">
        <v>88</v>
      </c>
      <c r="N6" s="9"/>
    </row>
    <row r="7" customFormat="false" ht="15" hidden="false" customHeight="true" outlineLevel="0" collapsed="false">
      <c r="A7" s="8" t="n">
        <v>46298</v>
      </c>
      <c r="B7" s="13" t="n">
        <v>0.634722222222222</v>
      </c>
      <c r="C7" s="13" t="n">
        <v>0.716666666666667</v>
      </c>
      <c r="D7" s="9" t="n">
        <v>1</v>
      </c>
      <c r="E7" s="9" t="s">
        <v>85</v>
      </c>
      <c r="F7" s="9" t="s">
        <v>36</v>
      </c>
      <c r="G7" s="9" t="n">
        <v>8</v>
      </c>
      <c r="H7" s="9" t="n">
        <v>7.2</v>
      </c>
      <c r="I7" s="14" t="n">
        <f aca="false">IF(OR(G7="",H7=""),"",1-H7/G7)</f>
        <v>0.1</v>
      </c>
      <c r="J7" s="10" t="n">
        <f aca="false">IF(OR(B7="",C7=""),"",ROUND(MOD(C7-B7,1)*1440,0))</f>
        <v>118</v>
      </c>
      <c r="K7" s="9" t="s">
        <v>92</v>
      </c>
      <c r="L7" s="9" t="s">
        <v>87</v>
      </c>
      <c r="M7" s="9" t="s">
        <v>88</v>
      </c>
      <c r="N7" s="9"/>
    </row>
    <row r="8" customFormat="false" ht="15" hidden="false" customHeight="true" outlineLevel="0" collapsed="false">
      <c r="A8" s="8" t="n">
        <v>46298</v>
      </c>
      <c r="B8" s="13" t="n">
        <v>0.725</v>
      </c>
      <c r="C8" s="13" t="n">
        <v>0.80625</v>
      </c>
      <c r="D8" s="9" t="n">
        <v>1</v>
      </c>
      <c r="E8" s="9" t="s">
        <v>93</v>
      </c>
      <c r="F8" s="9" t="s">
        <v>36</v>
      </c>
      <c r="G8" s="9" t="n">
        <v>8</v>
      </c>
      <c r="H8" s="9" t="n">
        <v>7.2</v>
      </c>
      <c r="I8" s="14" t="n">
        <f aca="false">IF(OR(G8="",H8=""),"",1-H8/G8)</f>
        <v>0.1</v>
      </c>
      <c r="J8" s="10" t="n">
        <f aca="false">IF(OR(B8="",C8=""),"",ROUND(MOD(C8-B8,1)*1440,0))</f>
        <v>117</v>
      </c>
      <c r="K8" s="9" t="s">
        <v>86</v>
      </c>
      <c r="L8" s="9" t="s">
        <v>94</v>
      </c>
      <c r="M8" s="9" t="s">
        <v>88</v>
      </c>
      <c r="N8" s="9"/>
    </row>
    <row r="9" customFormat="false" ht="15" hidden="false" customHeight="true" outlineLevel="0" collapsed="false">
      <c r="A9" s="8" t="n">
        <v>46298</v>
      </c>
      <c r="B9" s="13" t="n">
        <v>0.815972222222222</v>
      </c>
      <c r="C9" s="13" t="n">
        <v>0.890972222222222</v>
      </c>
      <c r="D9" s="9" t="n">
        <v>1</v>
      </c>
      <c r="E9" s="9" t="s">
        <v>95</v>
      </c>
      <c r="F9" s="9" t="s">
        <v>36</v>
      </c>
      <c r="G9" s="9" t="n">
        <v>8</v>
      </c>
      <c r="H9" s="9" t="n">
        <v>7.2</v>
      </c>
      <c r="I9" s="14" t="n">
        <f aca="false">IF(OR(G9="",H9=""),"",1-H9/G9)</f>
        <v>0.1</v>
      </c>
      <c r="J9" s="10" t="n">
        <f aca="false">IF(OR(B9="",C9=""),"",ROUND(MOD(C9-B9,1)*1440,0))</f>
        <v>108</v>
      </c>
      <c r="K9" s="9" t="s">
        <v>86</v>
      </c>
      <c r="L9" s="9" t="s">
        <v>94</v>
      </c>
      <c r="M9" s="9" t="s">
        <v>88</v>
      </c>
      <c r="N9" s="9"/>
    </row>
    <row r="10" customFormat="false" ht="15" hidden="false" customHeight="true" outlineLevel="0" collapsed="false">
      <c r="A10" s="8" t="n">
        <v>46298</v>
      </c>
      <c r="B10" s="13" t="n">
        <v>0.897916666666667</v>
      </c>
      <c r="C10" s="13" t="n">
        <v>0.00694444444444444</v>
      </c>
      <c r="D10" s="9" t="n">
        <v>1</v>
      </c>
      <c r="E10" s="9" t="s">
        <v>85</v>
      </c>
      <c r="F10" s="9" t="s">
        <v>36</v>
      </c>
      <c r="G10" s="9" t="n">
        <v>14</v>
      </c>
      <c r="H10" s="9" t="n">
        <v>12.6</v>
      </c>
      <c r="I10" s="14" t="n">
        <f aca="false">IF(OR(G10="",H10=""),"",1-H10/G10)</f>
        <v>0.1</v>
      </c>
      <c r="J10" s="10" t="n">
        <f aca="false">IF(OR(B10="",C10=""),"",ROUND(MOD(C10-B10,1)*1440,0))</f>
        <v>157</v>
      </c>
      <c r="K10" s="9" t="s">
        <v>86</v>
      </c>
      <c r="L10" s="9" t="s">
        <v>94</v>
      </c>
      <c r="M10" s="9" t="s">
        <v>96</v>
      </c>
      <c r="N10" s="9"/>
    </row>
    <row r="11" customFormat="false" ht="15" hidden="false" customHeight="true" outlineLevel="0" collapsed="false">
      <c r="A11" s="8" t="n">
        <v>46299</v>
      </c>
      <c r="B11" s="13" t="n">
        <v>0.357638888888889</v>
      </c>
      <c r="C11" s="13" t="n">
        <v>0.464583333333333</v>
      </c>
      <c r="D11" s="9" t="n">
        <v>1</v>
      </c>
      <c r="E11" s="9" t="s">
        <v>90</v>
      </c>
      <c r="F11" s="9" t="s">
        <v>36</v>
      </c>
      <c r="G11" s="9" t="n">
        <v>14</v>
      </c>
      <c r="H11" s="9" t="n">
        <v>12.5</v>
      </c>
      <c r="I11" s="14" t="n">
        <f aca="false">IF(OR(G11="",H11=""),"",1-H11/G11)</f>
        <v>0.107142857142857</v>
      </c>
      <c r="J11" s="10" t="n">
        <f aca="false">IF(OR(B11="",C11=""),"",ROUND(MOD(C11-B11,1)*1440,0))</f>
        <v>154</v>
      </c>
      <c r="K11" s="9" t="s">
        <v>86</v>
      </c>
      <c r="L11" s="9" t="s">
        <v>87</v>
      </c>
      <c r="M11" s="9" t="s">
        <v>88</v>
      </c>
      <c r="N11" s="9"/>
    </row>
    <row r="12" customFormat="false" ht="15" hidden="false" customHeight="true" outlineLevel="0" collapsed="false">
      <c r="A12" s="8" t="n">
        <v>46299</v>
      </c>
      <c r="B12" s="13" t="n">
        <v>0.468055555555556</v>
      </c>
      <c r="C12" s="13" t="n">
        <v>0.565972222222222</v>
      </c>
      <c r="D12" s="9" t="n">
        <v>1</v>
      </c>
      <c r="E12" s="9" t="s">
        <v>85</v>
      </c>
      <c r="F12" s="9" t="s">
        <v>36</v>
      </c>
      <c r="G12" s="9" t="n">
        <v>14</v>
      </c>
      <c r="H12" s="9" t="n">
        <v>12.6</v>
      </c>
      <c r="I12" s="14" t="n">
        <f aca="false">IF(OR(G12="",H12=""),"",1-H12/G12)</f>
        <v>0.1</v>
      </c>
      <c r="J12" s="10" t="n">
        <f aca="false">IF(OR(B12="",C12=""),"",ROUND(MOD(C12-B12,1)*1440,0))</f>
        <v>141</v>
      </c>
      <c r="K12" s="9" t="s">
        <v>86</v>
      </c>
      <c r="L12" s="9" t="s">
        <v>87</v>
      </c>
      <c r="M12" s="9" t="s">
        <v>88</v>
      </c>
      <c r="N12" s="9"/>
    </row>
    <row r="13" customFormat="false" ht="15" hidden="false" customHeight="true" outlineLevel="0" collapsed="false">
      <c r="A13" s="8" t="n">
        <v>46299</v>
      </c>
      <c r="B13" s="13" t="n">
        <v>0.570833333333333</v>
      </c>
      <c r="C13" s="13" t="n">
        <v>0.649305555555556</v>
      </c>
      <c r="D13" s="9" t="n">
        <v>1</v>
      </c>
      <c r="E13" s="9" t="s">
        <v>85</v>
      </c>
      <c r="F13" s="9" t="s">
        <v>36</v>
      </c>
      <c r="G13" s="9" t="n">
        <v>8</v>
      </c>
      <c r="H13" s="9" t="n">
        <v>7.3</v>
      </c>
      <c r="I13" s="14" t="n">
        <f aca="false">IF(OR(G13="",H13=""),"",1-H13/G13)</f>
        <v>0.0875</v>
      </c>
      <c r="J13" s="10" t="n">
        <f aca="false">IF(OR(B13="",C13=""),"",ROUND(MOD(C13-B13,1)*1440,0))</f>
        <v>113</v>
      </c>
      <c r="K13" s="9" t="s">
        <v>86</v>
      </c>
      <c r="L13" s="9" t="s">
        <v>87</v>
      </c>
      <c r="M13" s="9" t="s">
        <v>88</v>
      </c>
      <c r="N13" s="9"/>
    </row>
    <row r="14" customFormat="false" ht="15" hidden="false" customHeight="true" outlineLevel="0" collapsed="false">
      <c r="A14" s="8" t="n">
        <v>46299</v>
      </c>
      <c r="B14" s="13" t="n">
        <v>0.656944444444444</v>
      </c>
      <c r="C14" s="13" t="n">
        <v>0.743055555555556</v>
      </c>
      <c r="D14" s="9" t="n">
        <v>1</v>
      </c>
      <c r="E14" s="9" t="s">
        <v>90</v>
      </c>
      <c r="F14" s="9" t="s">
        <v>36</v>
      </c>
      <c r="G14" s="9" t="n">
        <v>10.7</v>
      </c>
      <c r="H14" s="9" t="n">
        <v>9.6</v>
      </c>
      <c r="I14" s="14" t="n">
        <f aca="false">IF(OR(G14="",H14=""),"",1-H14/G14)</f>
        <v>0.102803738317757</v>
      </c>
      <c r="J14" s="10" t="n">
        <f aca="false">IF(OR(B14="",C14=""),"",ROUND(MOD(C14-B14,1)*1440,0))</f>
        <v>124</v>
      </c>
      <c r="K14" s="9" t="s">
        <v>91</v>
      </c>
      <c r="L14" s="9" t="s">
        <v>87</v>
      </c>
      <c r="M14" s="9" t="s">
        <v>88</v>
      </c>
      <c r="N14" s="9"/>
    </row>
    <row r="15" customFormat="false" ht="15" hidden="false" customHeight="true" outlineLevel="0" collapsed="false">
      <c r="A15" s="8" t="n">
        <v>46299</v>
      </c>
      <c r="B15" s="13" t="n">
        <v>0.749305555555556</v>
      </c>
      <c r="C15" s="13" t="n">
        <v>0.852083333333333</v>
      </c>
      <c r="D15" s="9" t="n">
        <v>1</v>
      </c>
      <c r="E15" s="9" t="s">
        <v>85</v>
      </c>
      <c r="F15" s="9" t="s">
        <v>36</v>
      </c>
      <c r="G15" s="9" t="n">
        <v>14</v>
      </c>
      <c r="H15" s="9" t="n">
        <v>12.5</v>
      </c>
      <c r="I15" s="14" t="n">
        <f aca="false">IF(OR(G15="",H15=""),"",1-H15/G15)</f>
        <v>0.107142857142857</v>
      </c>
      <c r="J15" s="10" t="n">
        <f aca="false">IF(OR(B15="",C15=""),"",ROUND(MOD(C15-B15,1)*1440,0))</f>
        <v>148</v>
      </c>
      <c r="K15" s="9" t="s">
        <v>91</v>
      </c>
      <c r="L15" s="9" t="s">
        <v>94</v>
      </c>
      <c r="M15" s="9" t="s">
        <v>88</v>
      </c>
      <c r="N15" s="9"/>
    </row>
    <row r="16" customFormat="false" ht="15" hidden="false" customHeight="true" outlineLevel="0" collapsed="false">
      <c r="A16" s="8" t="n">
        <v>46299</v>
      </c>
      <c r="B16" s="13" t="n">
        <v>0.861111111111111</v>
      </c>
      <c r="C16" s="13" t="n">
        <v>0.9375</v>
      </c>
      <c r="D16" s="9" t="n">
        <v>1</v>
      </c>
      <c r="E16" s="9" t="s">
        <v>85</v>
      </c>
      <c r="F16" s="9" t="s">
        <v>36</v>
      </c>
      <c r="G16" s="9" t="n">
        <v>8</v>
      </c>
      <c r="H16" s="9" t="n">
        <v>7.2</v>
      </c>
      <c r="I16" s="14" t="n">
        <f aca="false">IF(OR(G16="",H16=""),"",1-H16/G16)</f>
        <v>0.1</v>
      </c>
      <c r="J16" s="10" t="n">
        <f aca="false">IF(OR(B16="",C16=""),"",ROUND(MOD(C16-B16,1)*1440,0))</f>
        <v>110</v>
      </c>
      <c r="K16" s="9" t="s">
        <v>92</v>
      </c>
      <c r="L16" s="9" t="s">
        <v>94</v>
      </c>
      <c r="M16" s="9" t="s">
        <v>88</v>
      </c>
      <c r="N16" s="9"/>
    </row>
    <row r="17" customFormat="false" ht="15" hidden="false" customHeight="true" outlineLevel="0" collapsed="false">
      <c r="A17" s="8" t="n">
        <v>46299</v>
      </c>
      <c r="B17" s="13" t="n">
        <v>0.943055555555556</v>
      </c>
      <c r="C17" s="13" t="n">
        <v>0.0236111111111111</v>
      </c>
      <c r="D17" s="9" t="n">
        <v>1</v>
      </c>
      <c r="E17" s="9" t="s">
        <v>90</v>
      </c>
      <c r="F17" s="9" t="s">
        <v>36</v>
      </c>
      <c r="G17" s="9" t="n">
        <v>8</v>
      </c>
      <c r="H17" s="9" t="n">
        <v>7.1</v>
      </c>
      <c r="I17" s="14" t="n">
        <f aca="false">IF(OR(G17="",H17=""),"",1-H17/G17)</f>
        <v>0.1125</v>
      </c>
      <c r="J17" s="10" t="n">
        <f aca="false">IF(OR(B17="",C17=""),"",ROUND(MOD(C17-B17,1)*1440,0))</f>
        <v>116</v>
      </c>
      <c r="K17" s="9" t="s">
        <v>91</v>
      </c>
      <c r="L17" s="9" t="s">
        <v>94</v>
      </c>
      <c r="M17" s="9" t="s">
        <v>88</v>
      </c>
      <c r="N17" s="9"/>
    </row>
    <row r="18" customFormat="false" ht="15" hidden="false" customHeight="true" outlineLevel="0" collapsed="false">
      <c r="A18" s="8" t="n">
        <v>46300</v>
      </c>
      <c r="B18" s="13" t="n">
        <v>0.364583333333333</v>
      </c>
      <c r="C18" s="13" t="n">
        <v>0.452083333333333</v>
      </c>
      <c r="D18" s="9" t="n">
        <v>1</v>
      </c>
      <c r="E18" s="9" t="s">
        <v>85</v>
      </c>
      <c r="F18" s="9" t="s">
        <v>36</v>
      </c>
      <c r="G18" s="9" t="n">
        <v>10.9</v>
      </c>
      <c r="H18" s="9" t="n">
        <v>9.9</v>
      </c>
      <c r="I18" s="14" t="n">
        <f aca="false">IF(OR(G18="",H18=""),"",1-H18/G18)</f>
        <v>0.0917431192660551</v>
      </c>
      <c r="J18" s="10" t="n">
        <f aca="false">IF(OR(B18="",C18=""),"",ROUND(MOD(C18-B18,1)*1440,0))</f>
        <v>126</v>
      </c>
      <c r="K18" s="9" t="s">
        <v>86</v>
      </c>
      <c r="L18" s="9" t="s">
        <v>87</v>
      </c>
      <c r="M18" s="9" t="s">
        <v>88</v>
      </c>
      <c r="N18" s="9"/>
    </row>
    <row r="19" customFormat="false" ht="15" hidden="false" customHeight="true" outlineLevel="0" collapsed="false">
      <c r="A19" s="8" t="n">
        <v>46300</v>
      </c>
      <c r="B19" s="13" t="n">
        <v>0.461111111111111</v>
      </c>
      <c r="C19" s="13" t="n">
        <v>0.536805555555556</v>
      </c>
      <c r="D19" s="9" t="n">
        <v>1</v>
      </c>
      <c r="E19" s="9" t="s">
        <v>90</v>
      </c>
      <c r="F19" s="9" t="s">
        <v>36</v>
      </c>
      <c r="G19" s="9" t="n">
        <v>8</v>
      </c>
      <c r="H19" s="9" t="n">
        <v>7.2</v>
      </c>
      <c r="I19" s="14" t="n">
        <f aca="false">IF(OR(G19="",H19=""),"",1-H19/G19)</f>
        <v>0.1</v>
      </c>
      <c r="J19" s="10" t="n">
        <f aca="false">IF(OR(B19="",C19=""),"",ROUND(MOD(C19-B19,1)*1440,0))</f>
        <v>109</v>
      </c>
      <c r="K19" s="9" t="s">
        <v>86</v>
      </c>
      <c r="L19" s="9" t="s">
        <v>87</v>
      </c>
      <c r="M19" s="9" t="s">
        <v>88</v>
      </c>
      <c r="N19" s="9"/>
    </row>
    <row r="20" customFormat="false" ht="15" hidden="false" customHeight="true" outlineLevel="0" collapsed="false">
      <c r="A20" s="8" t="n">
        <v>46300</v>
      </c>
      <c r="B20" s="13" t="n">
        <v>0.545833333333333</v>
      </c>
      <c r="C20" s="13" t="n">
        <v>0.628472222222222</v>
      </c>
      <c r="D20" s="9" t="n">
        <v>1</v>
      </c>
      <c r="E20" s="9" t="s">
        <v>85</v>
      </c>
      <c r="F20" s="9" t="s">
        <v>36</v>
      </c>
      <c r="G20" s="9" t="n">
        <v>8</v>
      </c>
      <c r="H20" s="9" t="n">
        <v>7.2</v>
      </c>
      <c r="I20" s="14" t="n">
        <f aca="false">IF(OR(G20="",H20=""),"",1-H20/G20)</f>
        <v>0.1</v>
      </c>
      <c r="J20" s="10" t="n">
        <f aca="false">IF(OR(B20="",C20=""),"",ROUND(MOD(C20-B20,1)*1440,0))</f>
        <v>119</v>
      </c>
      <c r="K20" s="9" t="s">
        <v>86</v>
      </c>
      <c r="L20" s="9" t="s">
        <v>87</v>
      </c>
      <c r="M20" s="9" t="s">
        <v>88</v>
      </c>
      <c r="N20" s="9"/>
    </row>
    <row r="21" customFormat="false" ht="15" hidden="false" customHeight="true" outlineLevel="0" collapsed="false">
      <c r="A21" s="8" t="n">
        <v>46300</v>
      </c>
      <c r="B21" s="13" t="n">
        <v>0.638888888888889</v>
      </c>
      <c r="C21" s="13" t="n">
        <v>0.711111111111111</v>
      </c>
      <c r="D21" s="9" t="n">
        <v>1</v>
      </c>
      <c r="E21" s="9" t="s">
        <v>85</v>
      </c>
      <c r="F21" s="9" t="s">
        <v>52</v>
      </c>
      <c r="G21" s="9" t="n">
        <v>8</v>
      </c>
      <c r="H21" s="9" t="n">
        <v>6.8</v>
      </c>
      <c r="I21" s="14" t="n">
        <f aca="false">IF(OR(G21="",H21=""),"",1-H21/G21)</f>
        <v>0.15</v>
      </c>
      <c r="J21" s="10" t="n">
        <f aca="false">IF(OR(B21="",C21=""),"",ROUND(MOD(C21-B21,1)*1440,0))</f>
        <v>104</v>
      </c>
      <c r="K21" s="9" t="s">
        <v>97</v>
      </c>
      <c r="L21" s="9" t="s">
        <v>87</v>
      </c>
      <c r="M21" s="9" t="s">
        <v>88</v>
      </c>
      <c r="N21" s="9"/>
    </row>
    <row r="22" customFormat="false" ht="15" hidden="false" customHeight="true" outlineLevel="0" collapsed="false">
      <c r="A22" s="8" t="n">
        <v>46300</v>
      </c>
      <c r="B22" s="13" t="n">
        <v>0.71875</v>
      </c>
      <c r="C22" s="13" t="n">
        <v>0.799305555555556</v>
      </c>
      <c r="D22" s="9" t="n">
        <v>1</v>
      </c>
      <c r="E22" s="9" t="s">
        <v>90</v>
      </c>
      <c r="F22" s="9" t="s">
        <v>36</v>
      </c>
      <c r="G22" s="9" t="n">
        <v>8</v>
      </c>
      <c r="H22" s="9" t="n">
        <v>7.2</v>
      </c>
      <c r="I22" s="14" t="n">
        <f aca="false">IF(OR(G22="",H22=""),"",1-H22/G22)</f>
        <v>0.1</v>
      </c>
      <c r="J22" s="10" t="n">
        <f aca="false">IF(OR(B22="",C22=""),"",ROUND(MOD(C22-B22,1)*1440,0))</f>
        <v>116</v>
      </c>
      <c r="K22" s="9" t="s">
        <v>92</v>
      </c>
      <c r="L22" s="9" t="s">
        <v>94</v>
      </c>
      <c r="M22" s="9" t="s">
        <v>88</v>
      </c>
      <c r="N22" s="9"/>
    </row>
    <row r="23" customFormat="false" ht="15" hidden="false" customHeight="true" outlineLevel="0" collapsed="false">
      <c r="A23" s="8" t="n">
        <v>46300</v>
      </c>
      <c r="B23" s="13" t="n">
        <v>0.809722222222222</v>
      </c>
      <c r="C23" s="13" t="n">
        <v>0.889583333333333</v>
      </c>
      <c r="D23" s="9" t="n">
        <v>1</v>
      </c>
      <c r="E23" s="9" t="s">
        <v>85</v>
      </c>
      <c r="F23" s="9" t="s">
        <v>36</v>
      </c>
      <c r="G23" s="9" t="n">
        <v>8.7</v>
      </c>
      <c r="H23" s="9" t="n">
        <v>7.6</v>
      </c>
      <c r="I23" s="14" t="n">
        <f aca="false">IF(OR(G23="",H23=""),"",1-H23/G23)</f>
        <v>0.126436781609195</v>
      </c>
      <c r="J23" s="10" t="n">
        <f aca="false">IF(OR(B23="",C23=""),"",ROUND(MOD(C23-B23,1)*1440,0))</f>
        <v>115</v>
      </c>
      <c r="K23" s="9" t="s">
        <v>92</v>
      </c>
      <c r="L23" s="9" t="s">
        <v>94</v>
      </c>
      <c r="M23" s="9" t="s">
        <v>88</v>
      </c>
      <c r="N23" s="9" t="s">
        <v>98</v>
      </c>
    </row>
    <row r="24" customFormat="false" ht="15" hidden="false" customHeight="true" outlineLevel="0" collapsed="false">
      <c r="A24" s="8" t="n">
        <v>46300</v>
      </c>
      <c r="B24" s="13" t="n">
        <v>0.895833333333333</v>
      </c>
      <c r="C24" s="13" t="n">
        <v>0.971527777777778</v>
      </c>
      <c r="D24" s="9" t="n">
        <v>1</v>
      </c>
      <c r="E24" s="9" t="s">
        <v>93</v>
      </c>
      <c r="F24" s="9" t="s">
        <v>36</v>
      </c>
      <c r="G24" s="9" t="n">
        <v>8</v>
      </c>
      <c r="H24" s="9" t="n">
        <v>7.1</v>
      </c>
      <c r="I24" s="14" t="n">
        <f aca="false">IF(OR(G24="",H24=""),"",1-H24/G24)</f>
        <v>0.1125</v>
      </c>
      <c r="J24" s="10" t="n">
        <f aca="false">IF(OR(B24="",C24=""),"",ROUND(MOD(C24-B24,1)*1440,0))</f>
        <v>109</v>
      </c>
      <c r="K24" s="9" t="s">
        <v>92</v>
      </c>
      <c r="L24" s="9" t="s">
        <v>94</v>
      </c>
      <c r="M24" s="9" t="s">
        <v>88</v>
      </c>
      <c r="N24" s="9"/>
    </row>
    <row r="25" customFormat="false" ht="15" hidden="false" customHeight="true" outlineLevel="0" collapsed="false">
      <c r="A25" s="8" t="n">
        <v>46301</v>
      </c>
      <c r="B25" s="13" t="n">
        <v>0.361805555555556</v>
      </c>
      <c r="C25" s="13" t="n">
        <v>0.467361111111111</v>
      </c>
      <c r="D25" s="9" t="n">
        <v>1</v>
      </c>
      <c r="E25" s="9" t="s">
        <v>90</v>
      </c>
      <c r="F25" s="9" t="s">
        <v>36</v>
      </c>
      <c r="G25" s="9" t="n">
        <v>14</v>
      </c>
      <c r="H25" s="9" t="n">
        <v>12.6</v>
      </c>
      <c r="I25" s="14" t="n">
        <f aca="false">IF(OR(G25="",H25=""),"",1-H25/G25)</f>
        <v>0.1</v>
      </c>
      <c r="J25" s="10" t="n">
        <f aca="false">IF(OR(B25="",C25=""),"",ROUND(MOD(C25-B25,1)*1440,0))</f>
        <v>152</v>
      </c>
      <c r="K25" s="9" t="s">
        <v>92</v>
      </c>
      <c r="L25" s="9" t="s">
        <v>87</v>
      </c>
      <c r="M25" s="9" t="s">
        <v>88</v>
      </c>
      <c r="N25" s="9"/>
    </row>
    <row r="26" customFormat="false" ht="15" hidden="false" customHeight="true" outlineLevel="0" collapsed="false">
      <c r="A26" s="8" t="n">
        <v>46301</v>
      </c>
      <c r="B26" s="13" t="n">
        <v>0.471527777777778</v>
      </c>
      <c r="C26" s="13" t="n">
        <v>0.548611111111111</v>
      </c>
      <c r="D26" s="9" t="n">
        <v>1</v>
      </c>
      <c r="E26" s="9" t="s">
        <v>90</v>
      </c>
      <c r="F26" s="9" t="s">
        <v>36</v>
      </c>
      <c r="G26" s="9" t="n">
        <v>8</v>
      </c>
      <c r="H26" s="9" t="n">
        <v>7.1</v>
      </c>
      <c r="I26" s="14" t="n">
        <f aca="false">IF(OR(G26="",H26=""),"",1-H26/G26)</f>
        <v>0.1125</v>
      </c>
      <c r="J26" s="10" t="n">
        <f aca="false">IF(OR(B26="",C26=""),"",ROUND(MOD(C26-B26,1)*1440,0))</f>
        <v>111</v>
      </c>
      <c r="K26" s="9" t="s">
        <v>92</v>
      </c>
      <c r="L26" s="9" t="s">
        <v>87</v>
      </c>
      <c r="M26" s="9" t="s">
        <v>88</v>
      </c>
      <c r="N26" s="9"/>
    </row>
    <row r="27" customFormat="false" ht="15" hidden="false" customHeight="true" outlineLevel="0" collapsed="false">
      <c r="A27" s="8" t="n">
        <v>46301</v>
      </c>
      <c r="B27" s="13" t="n">
        <v>0.555555555555556</v>
      </c>
      <c r="C27" s="13" t="n">
        <v>0.6625</v>
      </c>
      <c r="D27" s="9" t="n">
        <v>1</v>
      </c>
      <c r="E27" s="9" t="s">
        <v>85</v>
      </c>
      <c r="F27" s="9" t="s">
        <v>36</v>
      </c>
      <c r="G27" s="9" t="n">
        <v>14</v>
      </c>
      <c r="H27" s="9" t="n">
        <v>12.6</v>
      </c>
      <c r="I27" s="14" t="n">
        <f aca="false">IF(OR(G27="",H27=""),"",1-H27/G27)</f>
        <v>0.1</v>
      </c>
      <c r="J27" s="10" t="n">
        <f aca="false">IF(OR(B27="",C27=""),"",ROUND(MOD(C27-B27,1)*1440,0))</f>
        <v>154</v>
      </c>
      <c r="K27" s="9" t="s">
        <v>86</v>
      </c>
      <c r="L27" s="9" t="s">
        <v>87</v>
      </c>
      <c r="M27" s="9" t="s">
        <v>88</v>
      </c>
      <c r="N27" s="9"/>
    </row>
    <row r="28" customFormat="false" ht="15" hidden="false" customHeight="true" outlineLevel="0" collapsed="false">
      <c r="A28" s="8" t="n">
        <v>46301</v>
      </c>
      <c r="B28" s="13" t="n">
        <v>0.677083333333333</v>
      </c>
      <c r="C28" s="13" t="n">
        <v>0.775694444444445</v>
      </c>
      <c r="D28" s="9" t="n">
        <v>1</v>
      </c>
      <c r="E28" s="9" t="s">
        <v>85</v>
      </c>
      <c r="F28" s="9" t="s">
        <v>36</v>
      </c>
      <c r="G28" s="9" t="n">
        <v>14</v>
      </c>
      <c r="H28" s="9" t="n">
        <v>12.6</v>
      </c>
      <c r="I28" s="14" t="n">
        <f aca="false">IF(OR(G28="",H28=""),"",1-H28/G28)</f>
        <v>0.1</v>
      </c>
      <c r="J28" s="10" t="n">
        <f aca="false">IF(OR(B28="",C28=""),"",ROUND(MOD(C28-B28,1)*1440,0))</f>
        <v>142</v>
      </c>
      <c r="K28" s="9" t="s">
        <v>86</v>
      </c>
      <c r="L28" s="9" t="s">
        <v>87</v>
      </c>
      <c r="M28" s="9" t="s">
        <v>88</v>
      </c>
      <c r="N28" s="9"/>
    </row>
    <row r="29" customFormat="false" ht="15" hidden="false" customHeight="true" outlineLevel="0" collapsed="false">
      <c r="A29" s="8" t="n">
        <v>46301</v>
      </c>
      <c r="B29" s="13" t="n">
        <v>0.786111111111111</v>
      </c>
      <c r="C29" s="13" t="n">
        <v>0.893055555555556</v>
      </c>
      <c r="D29" s="9" t="n">
        <v>1</v>
      </c>
      <c r="E29" s="9" t="s">
        <v>85</v>
      </c>
      <c r="F29" s="9" t="s">
        <v>36</v>
      </c>
      <c r="G29" s="9" t="n">
        <v>14</v>
      </c>
      <c r="H29" s="9" t="n">
        <v>12.7</v>
      </c>
      <c r="I29" s="14" t="n">
        <f aca="false">IF(OR(G29="",H29=""),"",1-H29/G29)</f>
        <v>0.0928571428571429</v>
      </c>
      <c r="J29" s="10" t="n">
        <f aca="false">IF(OR(B29="",C29=""),"",ROUND(MOD(C29-B29,1)*1440,0))</f>
        <v>154</v>
      </c>
      <c r="K29" s="9" t="s">
        <v>92</v>
      </c>
      <c r="L29" s="9" t="s">
        <v>94</v>
      </c>
      <c r="M29" s="9" t="s">
        <v>88</v>
      </c>
      <c r="N29" s="9"/>
    </row>
    <row r="30" customFormat="false" ht="15" hidden="false" customHeight="true" outlineLevel="0" collapsed="false">
      <c r="A30" s="8" t="n">
        <v>46301</v>
      </c>
      <c r="B30" s="13" t="n">
        <v>0.9</v>
      </c>
      <c r="C30" s="13" t="n">
        <v>0.980555555555556</v>
      </c>
      <c r="D30" s="9" t="n">
        <v>1</v>
      </c>
      <c r="E30" s="9" t="s">
        <v>85</v>
      </c>
      <c r="F30" s="9" t="s">
        <v>36</v>
      </c>
      <c r="G30" s="9" t="n">
        <v>8</v>
      </c>
      <c r="H30" s="9" t="n">
        <v>7.1</v>
      </c>
      <c r="I30" s="14" t="n">
        <f aca="false">IF(OR(G30="",H30=""),"",1-H30/G30)</f>
        <v>0.1125</v>
      </c>
      <c r="J30" s="10" t="n">
        <f aca="false">IF(OR(B30="",C30=""),"",ROUND(MOD(C30-B30,1)*1440,0))</f>
        <v>116</v>
      </c>
      <c r="K30" s="9" t="s">
        <v>92</v>
      </c>
      <c r="L30" s="9" t="s">
        <v>94</v>
      </c>
      <c r="M30" s="9" t="s">
        <v>88</v>
      </c>
      <c r="N30" s="9"/>
    </row>
    <row r="31" customFormat="false" ht="15" hidden="false" customHeight="true" outlineLevel="0" collapsed="false">
      <c r="A31" s="8" t="n">
        <v>46302</v>
      </c>
      <c r="B31" s="13" t="n">
        <v>0.358333333333333</v>
      </c>
      <c r="C31" s="13" t="n">
        <v>0.434027777777778</v>
      </c>
      <c r="D31" s="9" t="n">
        <v>1</v>
      </c>
      <c r="E31" s="9" t="s">
        <v>90</v>
      </c>
      <c r="F31" s="9" t="s">
        <v>36</v>
      </c>
      <c r="G31" s="9" t="n">
        <v>8</v>
      </c>
      <c r="H31" s="9" t="n">
        <v>7.3</v>
      </c>
      <c r="I31" s="14" t="n">
        <f aca="false">IF(OR(G31="",H31=""),"",1-H31/G31)</f>
        <v>0.0875</v>
      </c>
      <c r="J31" s="10" t="n">
        <f aca="false">IF(OR(B31="",C31=""),"",ROUND(MOD(C31-B31,1)*1440,0))</f>
        <v>109</v>
      </c>
      <c r="K31" s="9" t="s">
        <v>91</v>
      </c>
      <c r="L31" s="9" t="s">
        <v>87</v>
      </c>
      <c r="M31" s="9" t="s">
        <v>88</v>
      </c>
      <c r="N31" s="9"/>
    </row>
    <row r="32" customFormat="false" ht="15" hidden="false" customHeight="true" outlineLevel="0" collapsed="false">
      <c r="A32" s="8" t="n">
        <v>46302</v>
      </c>
      <c r="B32" s="13" t="n">
        <v>0.443055555555556</v>
      </c>
      <c r="C32" s="13" t="n">
        <v>0.516666666666667</v>
      </c>
      <c r="D32" s="9" t="n">
        <v>1</v>
      </c>
      <c r="E32" s="9" t="s">
        <v>85</v>
      </c>
      <c r="F32" s="9" t="s">
        <v>36</v>
      </c>
      <c r="G32" s="9" t="n">
        <v>8</v>
      </c>
      <c r="H32" s="9" t="n">
        <v>7.1</v>
      </c>
      <c r="I32" s="14" t="n">
        <f aca="false">IF(OR(G32="",H32=""),"",1-H32/G32)</f>
        <v>0.1125</v>
      </c>
      <c r="J32" s="10" t="n">
        <f aca="false">IF(OR(B32="",C32=""),"",ROUND(MOD(C32-B32,1)*1440,0))</f>
        <v>106</v>
      </c>
      <c r="K32" s="9" t="s">
        <v>86</v>
      </c>
      <c r="L32" s="9" t="s">
        <v>87</v>
      </c>
      <c r="M32" s="9" t="s">
        <v>88</v>
      </c>
      <c r="N32" s="9"/>
    </row>
    <row r="33" customFormat="false" ht="15" hidden="false" customHeight="true" outlineLevel="0" collapsed="false">
      <c r="A33" s="8" t="n">
        <v>46302</v>
      </c>
      <c r="B33" s="13" t="n">
        <v>0.520833333333333</v>
      </c>
      <c r="C33" s="13" t="n">
        <v>0.592361111111111</v>
      </c>
      <c r="D33" s="9" t="n">
        <v>1</v>
      </c>
      <c r="E33" s="9" t="s">
        <v>90</v>
      </c>
      <c r="F33" s="9" t="s">
        <v>36</v>
      </c>
      <c r="G33" s="9" t="n">
        <v>8</v>
      </c>
      <c r="H33" s="9" t="n">
        <v>7.2</v>
      </c>
      <c r="I33" s="14" t="n">
        <f aca="false">IF(OR(G33="",H33=""),"",1-H33/G33)</f>
        <v>0.1</v>
      </c>
      <c r="J33" s="10" t="n">
        <f aca="false">IF(OR(B33="",C33=""),"",ROUND(MOD(C33-B33,1)*1440,0))</f>
        <v>103</v>
      </c>
      <c r="K33" s="9" t="s">
        <v>86</v>
      </c>
      <c r="L33" s="9" t="s">
        <v>87</v>
      </c>
      <c r="M33" s="9" t="s">
        <v>88</v>
      </c>
      <c r="N33" s="9"/>
    </row>
    <row r="34" customFormat="false" ht="15" hidden="false" customHeight="true" outlineLevel="0" collapsed="false">
      <c r="A34" s="8" t="n">
        <v>46302</v>
      </c>
      <c r="B34" s="13" t="n">
        <v>0.599305555555556</v>
      </c>
      <c r="C34" s="13" t="n">
        <v>0.690972222222222</v>
      </c>
      <c r="D34" s="9" t="n">
        <v>1</v>
      </c>
      <c r="E34" s="9" t="s">
        <v>85</v>
      </c>
      <c r="F34" s="9" t="s">
        <v>36</v>
      </c>
      <c r="G34" s="9" t="n">
        <v>10.9</v>
      </c>
      <c r="H34" s="9" t="n">
        <v>9.8</v>
      </c>
      <c r="I34" s="14" t="n">
        <f aca="false">IF(OR(G34="",H34=""),"",1-H34/G34)</f>
        <v>0.100917431192661</v>
      </c>
      <c r="J34" s="10" t="n">
        <f aca="false">IF(OR(B34="",C34=""),"",ROUND(MOD(C34-B34,1)*1440,0))</f>
        <v>132</v>
      </c>
      <c r="K34" s="9" t="s">
        <v>92</v>
      </c>
      <c r="L34" s="9" t="s">
        <v>87</v>
      </c>
      <c r="M34" s="9" t="s">
        <v>88</v>
      </c>
      <c r="N34" s="9"/>
    </row>
    <row r="35" customFormat="false" ht="15" hidden="false" customHeight="true" outlineLevel="0" collapsed="false">
      <c r="A35" s="8" t="n">
        <v>46302</v>
      </c>
      <c r="B35" s="13" t="n">
        <v>0.697916666666667</v>
      </c>
      <c r="C35" s="13" t="n">
        <v>0.78125</v>
      </c>
      <c r="D35" s="9" t="n">
        <v>1</v>
      </c>
      <c r="E35" s="9" t="s">
        <v>93</v>
      </c>
      <c r="F35" s="9" t="s">
        <v>36</v>
      </c>
      <c r="G35" s="9" t="n">
        <v>8</v>
      </c>
      <c r="H35" s="9" t="n">
        <v>7.2</v>
      </c>
      <c r="I35" s="14" t="n">
        <f aca="false">IF(OR(G35="",H35=""),"",1-H35/G35)</f>
        <v>0.1</v>
      </c>
      <c r="J35" s="10" t="n">
        <f aca="false">IF(OR(B35="",C35=""),"",ROUND(MOD(C35-B35,1)*1440,0))</f>
        <v>120</v>
      </c>
      <c r="K35" s="9" t="s">
        <v>91</v>
      </c>
      <c r="L35" s="9" t="s">
        <v>87</v>
      </c>
      <c r="M35" s="9" t="s">
        <v>88</v>
      </c>
      <c r="N35" s="9"/>
    </row>
    <row r="36" customFormat="false" ht="15" hidden="false" customHeight="true" outlineLevel="0" collapsed="false">
      <c r="A36" s="8" t="n">
        <v>46302</v>
      </c>
      <c r="B36" s="13" t="n">
        <v>0.786805555555556</v>
      </c>
      <c r="C36" s="13" t="n">
        <v>0.890972222222222</v>
      </c>
      <c r="D36" s="9" t="n">
        <v>1</v>
      </c>
      <c r="E36" s="9" t="s">
        <v>93</v>
      </c>
      <c r="F36" s="9" t="s">
        <v>36</v>
      </c>
      <c r="G36" s="9" t="n">
        <v>14</v>
      </c>
      <c r="H36" s="9" t="n">
        <v>12.5</v>
      </c>
      <c r="I36" s="14" t="n">
        <f aca="false">IF(OR(G36="",H36=""),"",1-H36/G36)</f>
        <v>0.107142857142857</v>
      </c>
      <c r="J36" s="10" t="n">
        <f aca="false">IF(OR(B36="",C36=""),"",ROUND(MOD(C36-B36,1)*1440,0))</f>
        <v>150</v>
      </c>
      <c r="K36" s="9" t="s">
        <v>86</v>
      </c>
      <c r="L36" s="9" t="s">
        <v>94</v>
      </c>
      <c r="M36" s="9" t="s">
        <v>88</v>
      </c>
      <c r="N36" s="9"/>
    </row>
    <row r="37" customFormat="false" ht="15" hidden="false" customHeight="true" outlineLevel="0" collapsed="false">
      <c r="A37" s="8" t="n">
        <v>46302</v>
      </c>
      <c r="B37" s="13" t="n">
        <v>0.901388888888889</v>
      </c>
      <c r="C37" s="13" t="n">
        <v>0.973611111111111</v>
      </c>
      <c r="D37" s="9" t="n">
        <v>1</v>
      </c>
      <c r="E37" s="9" t="s">
        <v>93</v>
      </c>
      <c r="F37" s="9" t="s">
        <v>36</v>
      </c>
      <c r="G37" s="9" t="n">
        <v>8</v>
      </c>
      <c r="H37" s="9" t="n">
        <v>7.3</v>
      </c>
      <c r="I37" s="14" t="n">
        <f aca="false">IF(OR(G37="",H37=""),"",1-H37/G37)</f>
        <v>0.0875</v>
      </c>
      <c r="J37" s="10" t="n">
        <f aca="false">IF(OR(B37="",C37=""),"",ROUND(MOD(C37-B37,1)*1440,0))</f>
        <v>104</v>
      </c>
      <c r="K37" s="9" t="s">
        <v>86</v>
      </c>
      <c r="L37" s="9" t="s">
        <v>94</v>
      </c>
      <c r="M37" s="9" t="s">
        <v>88</v>
      </c>
      <c r="N37" s="9"/>
    </row>
    <row r="38" customFormat="false" ht="15" hidden="false" customHeight="true" outlineLevel="0" collapsed="false">
      <c r="A38" s="8" t="n">
        <v>46302</v>
      </c>
      <c r="B38" s="13" t="n">
        <v>0.982638888888889</v>
      </c>
      <c r="C38" s="13" t="n">
        <v>0.0604166666666667</v>
      </c>
      <c r="D38" s="9" t="n">
        <v>1</v>
      </c>
      <c r="E38" s="9" t="s">
        <v>95</v>
      </c>
      <c r="F38" s="9" t="s">
        <v>36</v>
      </c>
      <c r="G38" s="9" t="n">
        <v>8</v>
      </c>
      <c r="H38" s="9" t="n">
        <v>7.2</v>
      </c>
      <c r="I38" s="14" t="n">
        <f aca="false">IF(OR(G38="",H38=""),"",1-H38/G38)</f>
        <v>0.1</v>
      </c>
      <c r="J38" s="10" t="n">
        <f aca="false">IF(OR(B38="",C38=""),"",ROUND(MOD(C38-B38,1)*1440,0))</f>
        <v>112</v>
      </c>
      <c r="K38" s="9" t="s">
        <v>92</v>
      </c>
      <c r="L38" s="9" t="s">
        <v>94</v>
      </c>
      <c r="M38" s="9" t="s">
        <v>88</v>
      </c>
      <c r="N38" s="9"/>
    </row>
    <row r="39" customFormat="false" ht="15" hidden="false" customHeight="true" outlineLevel="0" collapsed="false">
      <c r="A39" s="8" t="n">
        <v>46303</v>
      </c>
      <c r="B39" s="13" t="n">
        <v>0.358333333333333</v>
      </c>
      <c r="C39" s="13" t="n">
        <v>0.438888888888889</v>
      </c>
      <c r="D39" s="9" t="n">
        <v>1</v>
      </c>
      <c r="E39" s="9" t="s">
        <v>85</v>
      </c>
      <c r="F39" s="9" t="s">
        <v>36</v>
      </c>
      <c r="G39" s="9" t="n">
        <v>8</v>
      </c>
      <c r="H39" s="9" t="n">
        <v>7.1</v>
      </c>
      <c r="I39" s="14" t="n">
        <f aca="false">IF(OR(G39="",H39=""),"",1-H39/G39)</f>
        <v>0.1125</v>
      </c>
      <c r="J39" s="10" t="n">
        <f aca="false">IF(OR(B39="",C39=""),"",ROUND(MOD(C39-B39,1)*1440,0))</f>
        <v>116</v>
      </c>
      <c r="K39" s="9" t="s">
        <v>86</v>
      </c>
      <c r="L39" s="9" t="s">
        <v>87</v>
      </c>
      <c r="M39" s="9" t="s">
        <v>88</v>
      </c>
      <c r="N39" s="9"/>
    </row>
    <row r="40" customFormat="false" ht="15" hidden="false" customHeight="true" outlineLevel="0" collapsed="false">
      <c r="A40" s="8" t="n">
        <v>46303</v>
      </c>
      <c r="B40" s="13" t="n">
        <v>0.447916666666667</v>
      </c>
      <c r="C40" s="13" t="n">
        <v>0.545833333333333</v>
      </c>
      <c r="D40" s="9" t="n">
        <v>1</v>
      </c>
      <c r="E40" s="9" t="s">
        <v>59</v>
      </c>
      <c r="F40" s="9" t="s">
        <v>36</v>
      </c>
      <c r="G40" s="9" t="n">
        <v>14</v>
      </c>
      <c r="H40" s="9" t="n">
        <v>12.8</v>
      </c>
      <c r="I40" s="14" t="n">
        <f aca="false">IF(OR(G40="",H40=""),"",1-H40/G40)</f>
        <v>0.0857142857142856</v>
      </c>
      <c r="J40" s="10" t="n">
        <f aca="false">IF(OR(B40="",C40=""),"",ROUND(MOD(C40-B40,1)*1440,0))</f>
        <v>141</v>
      </c>
      <c r="K40" s="9" t="s">
        <v>92</v>
      </c>
      <c r="L40" s="9" t="s">
        <v>87</v>
      </c>
      <c r="M40" s="9" t="s">
        <v>88</v>
      </c>
      <c r="N40" s="9"/>
    </row>
    <row r="41" customFormat="false" ht="15" hidden="false" customHeight="true" outlineLevel="0" collapsed="false">
      <c r="A41" s="8" t="n">
        <v>46303</v>
      </c>
      <c r="B41" s="13" t="n">
        <v>0.552777777777778</v>
      </c>
      <c r="C41" s="13" t="n">
        <v>0.652777777777778</v>
      </c>
      <c r="D41" s="9" t="n">
        <v>1</v>
      </c>
      <c r="E41" s="9" t="s">
        <v>59</v>
      </c>
      <c r="F41" s="9" t="s">
        <v>36</v>
      </c>
      <c r="G41" s="9" t="n">
        <v>14</v>
      </c>
      <c r="H41" s="9" t="n">
        <v>12.7</v>
      </c>
      <c r="I41" s="14" t="n">
        <f aca="false">IF(OR(G41="",H41=""),"",1-H41/G41)</f>
        <v>0.0928571428571429</v>
      </c>
      <c r="J41" s="10" t="n">
        <f aca="false">IF(OR(B41="",C41=""),"",ROUND(MOD(C41-B41,1)*1440,0))</f>
        <v>144</v>
      </c>
      <c r="K41" s="9" t="s">
        <v>86</v>
      </c>
      <c r="L41" s="9" t="s">
        <v>87</v>
      </c>
      <c r="M41" s="9" t="s">
        <v>88</v>
      </c>
      <c r="N41" s="9"/>
    </row>
    <row r="42" customFormat="false" ht="15" hidden="false" customHeight="true" outlineLevel="0" collapsed="false">
      <c r="A42" s="8" t="n">
        <v>46303</v>
      </c>
      <c r="B42" s="13" t="n">
        <v>0.65625</v>
      </c>
      <c r="C42" s="13" t="n">
        <v>0.758333333333333</v>
      </c>
      <c r="D42" s="9" t="n">
        <v>1</v>
      </c>
      <c r="E42" s="9" t="s">
        <v>59</v>
      </c>
      <c r="F42" s="9" t="s">
        <v>36</v>
      </c>
      <c r="G42" s="9" t="n">
        <v>14</v>
      </c>
      <c r="H42" s="9" t="n">
        <v>12.6</v>
      </c>
      <c r="I42" s="14" t="n">
        <f aca="false">IF(OR(G42="",H42=""),"",1-H42/G42)</f>
        <v>0.1</v>
      </c>
      <c r="J42" s="10" t="n">
        <f aca="false">IF(OR(B42="",C42=""),"",ROUND(MOD(C42-B42,1)*1440,0))</f>
        <v>147</v>
      </c>
      <c r="K42" s="9" t="s">
        <v>86</v>
      </c>
      <c r="L42" s="9" t="s">
        <v>87</v>
      </c>
      <c r="M42" s="9" t="s">
        <v>88</v>
      </c>
      <c r="N42" s="9"/>
    </row>
    <row r="43" customFormat="false" ht="15" hidden="false" customHeight="true" outlineLevel="0" collapsed="false">
      <c r="A43" s="8" t="n">
        <v>46303</v>
      </c>
      <c r="B43" s="13" t="n">
        <v>0.765972222222222</v>
      </c>
      <c r="C43" s="13" t="n">
        <v>0.877777777777778</v>
      </c>
      <c r="D43" s="9" t="n">
        <v>1</v>
      </c>
      <c r="E43" s="9" t="s">
        <v>59</v>
      </c>
      <c r="F43" s="9" t="s">
        <v>36</v>
      </c>
      <c r="G43" s="9" t="n">
        <v>14</v>
      </c>
      <c r="H43" s="9" t="n">
        <v>12.7</v>
      </c>
      <c r="I43" s="14" t="n">
        <f aca="false">IF(OR(G43="",H43=""),"",1-H43/G43)</f>
        <v>0.0928571428571429</v>
      </c>
      <c r="J43" s="10" t="n">
        <f aca="false">IF(OR(B43="",C43=""),"",ROUND(MOD(C43-B43,1)*1440,0))</f>
        <v>161</v>
      </c>
      <c r="K43" s="9" t="s">
        <v>86</v>
      </c>
      <c r="L43" s="9" t="s">
        <v>94</v>
      </c>
      <c r="M43" s="9" t="s">
        <v>88</v>
      </c>
      <c r="N43" s="9"/>
    </row>
    <row r="44" customFormat="false" ht="15" hidden="false" customHeight="true" outlineLevel="0" collapsed="false">
      <c r="A44" s="8" t="n">
        <v>46303</v>
      </c>
      <c r="B44" s="13" t="n">
        <v>0.883333333333333</v>
      </c>
      <c r="C44" s="13" t="n">
        <v>0.984722222222222</v>
      </c>
      <c r="D44" s="9" t="n">
        <v>1</v>
      </c>
      <c r="E44" s="9" t="s">
        <v>59</v>
      </c>
      <c r="F44" s="9" t="s">
        <v>36</v>
      </c>
      <c r="G44" s="9" t="n">
        <v>14</v>
      </c>
      <c r="H44" s="9" t="n">
        <v>12.6</v>
      </c>
      <c r="I44" s="14" t="n">
        <f aca="false">IF(OR(G44="",H44=""),"",1-H44/G44)</f>
        <v>0.1</v>
      </c>
      <c r="J44" s="10" t="n">
        <f aca="false">IF(OR(B44="",C44=""),"",ROUND(MOD(C44-B44,1)*1440,0))</f>
        <v>146</v>
      </c>
      <c r="K44" s="9" t="s">
        <v>91</v>
      </c>
      <c r="L44" s="9" t="s">
        <v>94</v>
      </c>
      <c r="M44" s="9" t="s">
        <v>88</v>
      </c>
      <c r="N44" s="9"/>
    </row>
    <row r="45" customFormat="false" ht="15" hidden="false" customHeight="true" outlineLevel="0" collapsed="false">
      <c r="A45" s="8" t="n">
        <v>46305</v>
      </c>
      <c r="B45" s="13" t="n">
        <v>0.363888888888889</v>
      </c>
      <c r="C45" s="13" t="n">
        <v>0.439583333333333</v>
      </c>
      <c r="D45" s="9" t="n">
        <v>1</v>
      </c>
      <c r="E45" s="9" t="s">
        <v>90</v>
      </c>
      <c r="F45" s="9" t="s">
        <v>36</v>
      </c>
      <c r="G45" s="9" t="n">
        <v>8</v>
      </c>
      <c r="H45" s="9" t="n">
        <v>7.2</v>
      </c>
      <c r="I45" s="14" t="n">
        <f aca="false">IF(OR(G45="",H45=""),"",1-H45/G45)</f>
        <v>0.1</v>
      </c>
      <c r="J45" s="10" t="n">
        <f aca="false">IF(OR(B45="",C45=""),"",ROUND(MOD(C45-B45,1)*1440,0))</f>
        <v>109</v>
      </c>
      <c r="K45" s="9" t="s">
        <v>91</v>
      </c>
      <c r="L45" s="9" t="s">
        <v>87</v>
      </c>
      <c r="M45" s="9" t="s">
        <v>88</v>
      </c>
      <c r="N45" s="9"/>
    </row>
    <row r="46" customFormat="false" ht="15" hidden="false" customHeight="true" outlineLevel="0" collapsed="false">
      <c r="A46" s="8" t="n">
        <v>46305</v>
      </c>
      <c r="B46" s="13" t="n">
        <v>0.443055555555556</v>
      </c>
      <c r="C46" s="13" t="n">
        <v>0.528472222222222</v>
      </c>
      <c r="D46" s="9" t="n">
        <v>1</v>
      </c>
      <c r="E46" s="9" t="s">
        <v>85</v>
      </c>
      <c r="F46" s="9" t="s">
        <v>36</v>
      </c>
      <c r="G46" s="9" t="n">
        <v>9.3</v>
      </c>
      <c r="H46" s="9" t="n">
        <v>8.3</v>
      </c>
      <c r="I46" s="14" t="n">
        <f aca="false">IF(OR(G46="",H46=""),"",1-H46/G46)</f>
        <v>0.10752688172043</v>
      </c>
      <c r="J46" s="10" t="n">
        <f aca="false">IF(OR(B46="",C46=""),"",ROUND(MOD(C46-B46,1)*1440,0))</f>
        <v>123</v>
      </c>
      <c r="K46" s="9" t="s">
        <v>91</v>
      </c>
      <c r="L46" s="9" t="s">
        <v>87</v>
      </c>
      <c r="M46" s="9" t="s">
        <v>88</v>
      </c>
      <c r="N46" s="9"/>
    </row>
    <row r="47" customFormat="false" ht="15" hidden="false" customHeight="true" outlineLevel="0" collapsed="false">
      <c r="A47" s="8" t="n">
        <v>46305</v>
      </c>
      <c r="B47" s="13" t="n">
        <v>0.531944444444444</v>
      </c>
      <c r="C47" s="13" t="n">
        <v>0.606944444444444</v>
      </c>
      <c r="D47" s="9" t="n">
        <v>1</v>
      </c>
      <c r="E47" s="9" t="s">
        <v>93</v>
      </c>
      <c r="F47" s="9" t="s">
        <v>36</v>
      </c>
      <c r="G47" s="9" t="n">
        <v>8</v>
      </c>
      <c r="H47" s="9" t="n">
        <v>7.2</v>
      </c>
      <c r="I47" s="14" t="n">
        <f aca="false">IF(OR(G47="",H47=""),"",1-H47/G47)</f>
        <v>0.1</v>
      </c>
      <c r="J47" s="10" t="n">
        <f aca="false">IF(OR(B47="",C47=""),"",ROUND(MOD(C47-B47,1)*1440,0))</f>
        <v>108</v>
      </c>
      <c r="K47" s="9" t="s">
        <v>92</v>
      </c>
      <c r="L47" s="9" t="s">
        <v>87</v>
      </c>
      <c r="M47" s="9" t="s">
        <v>88</v>
      </c>
      <c r="N47" s="9"/>
    </row>
    <row r="48" customFormat="false" ht="15" hidden="false" customHeight="true" outlineLevel="0" collapsed="false">
      <c r="A48" s="8" t="n">
        <v>46305</v>
      </c>
      <c r="B48" s="13" t="n">
        <v>0.611805555555556</v>
      </c>
      <c r="C48" s="13" t="n">
        <v>0.688194444444444</v>
      </c>
      <c r="D48" s="9" t="n">
        <v>1</v>
      </c>
      <c r="E48" s="9" t="s">
        <v>90</v>
      </c>
      <c r="F48" s="9" t="s">
        <v>36</v>
      </c>
      <c r="G48" s="9" t="n">
        <v>8</v>
      </c>
      <c r="H48" s="9" t="n">
        <v>7.2</v>
      </c>
      <c r="I48" s="14" t="n">
        <f aca="false">IF(OR(G48="",H48=""),"",1-H48/G48)</f>
        <v>0.1</v>
      </c>
      <c r="J48" s="10" t="n">
        <f aca="false">IF(OR(B48="",C48=""),"",ROUND(MOD(C48-B48,1)*1440,0))</f>
        <v>110</v>
      </c>
      <c r="K48" s="9" t="s">
        <v>86</v>
      </c>
      <c r="L48" s="9" t="s">
        <v>87</v>
      </c>
      <c r="M48" s="9" t="s">
        <v>88</v>
      </c>
      <c r="N48" s="9"/>
    </row>
    <row r="49" customFormat="false" ht="15" hidden="false" customHeight="true" outlineLevel="0" collapsed="false">
      <c r="A49" s="8" t="n">
        <v>46305</v>
      </c>
      <c r="B49" s="13" t="n">
        <v>0.697916666666667</v>
      </c>
      <c r="C49" s="13" t="n">
        <v>0.786805555555556</v>
      </c>
      <c r="D49" s="9" t="n">
        <v>1</v>
      </c>
      <c r="E49" s="9" t="s">
        <v>85</v>
      </c>
      <c r="F49" s="9" t="s">
        <v>36</v>
      </c>
      <c r="G49" s="9" t="n">
        <v>11.1</v>
      </c>
      <c r="H49" s="9" t="n">
        <v>10</v>
      </c>
      <c r="I49" s="14" t="n">
        <f aca="false">IF(OR(G49="",H49=""),"",1-H49/G49)</f>
        <v>0.0990990990990991</v>
      </c>
      <c r="J49" s="10" t="n">
        <f aca="false">IF(OR(B49="",C49=""),"",ROUND(MOD(C49-B49,1)*1440,0))</f>
        <v>128</v>
      </c>
      <c r="K49" s="9" t="s">
        <v>86</v>
      </c>
      <c r="L49" s="9" t="s">
        <v>87</v>
      </c>
      <c r="M49" s="9" t="s">
        <v>88</v>
      </c>
      <c r="N49" s="9"/>
    </row>
    <row r="50" customFormat="false" ht="15" hidden="false" customHeight="true" outlineLevel="0" collapsed="false">
      <c r="A50" s="8" t="n">
        <v>46305</v>
      </c>
      <c r="B50" s="13" t="n">
        <v>0.795833333333333</v>
      </c>
      <c r="C50" s="13" t="n">
        <v>0.885416666666667</v>
      </c>
      <c r="D50" s="9" t="n">
        <v>1</v>
      </c>
      <c r="E50" s="9" t="s">
        <v>90</v>
      </c>
      <c r="F50" s="9" t="s">
        <v>36</v>
      </c>
      <c r="G50" s="9" t="n">
        <v>10.4</v>
      </c>
      <c r="H50" s="9" t="n">
        <v>9.3</v>
      </c>
      <c r="I50" s="14" t="n">
        <f aca="false">IF(OR(G50="",H50=""),"",1-H50/G50)</f>
        <v>0.105769230769231</v>
      </c>
      <c r="J50" s="10" t="n">
        <f aca="false">IF(OR(B50="",C50=""),"",ROUND(MOD(C50-B50,1)*1440,0))</f>
        <v>129</v>
      </c>
      <c r="K50" s="9" t="s">
        <v>92</v>
      </c>
      <c r="L50" s="9" t="s">
        <v>94</v>
      </c>
      <c r="M50" s="9" t="s">
        <v>88</v>
      </c>
      <c r="N50" s="9"/>
    </row>
    <row r="51" customFormat="false" ht="15" hidden="false" customHeight="true" outlineLevel="0" collapsed="false">
      <c r="A51" s="8" t="n">
        <v>46305</v>
      </c>
      <c r="B51" s="13" t="n">
        <v>0.895833333333333</v>
      </c>
      <c r="C51" s="13" t="n">
        <v>0.00138888888888889</v>
      </c>
      <c r="D51" s="9" t="n">
        <v>1</v>
      </c>
      <c r="E51" s="9" t="s">
        <v>85</v>
      </c>
      <c r="F51" s="9" t="s">
        <v>36</v>
      </c>
      <c r="G51" s="9" t="n">
        <v>14</v>
      </c>
      <c r="H51" s="9" t="n">
        <v>12.6</v>
      </c>
      <c r="I51" s="14" t="n">
        <f aca="false">IF(OR(G51="",H51=""),"",1-H51/G51)</f>
        <v>0.1</v>
      </c>
      <c r="J51" s="10" t="n">
        <f aca="false">IF(OR(B51="",C51=""),"",ROUND(MOD(C51-B51,1)*1440,0))</f>
        <v>152</v>
      </c>
      <c r="K51" s="9" t="s">
        <v>92</v>
      </c>
      <c r="L51" s="9" t="s">
        <v>94</v>
      </c>
      <c r="M51" s="9" t="s">
        <v>88</v>
      </c>
      <c r="N51" s="9"/>
    </row>
    <row r="52" customFormat="false" ht="15" hidden="false" customHeight="true" outlineLevel="0" collapsed="false">
      <c r="A52" s="8" t="n">
        <v>46306</v>
      </c>
      <c r="B52" s="13" t="n">
        <v>0.361805555555556</v>
      </c>
      <c r="C52" s="13" t="n">
        <v>0.465277777777778</v>
      </c>
      <c r="D52" s="9" t="n">
        <v>1</v>
      </c>
      <c r="E52" s="9" t="s">
        <v>59</v>
      </c>
      <c r="F52" s="9" t="s">
        <v>36</v>
      </c>
      <c r="G52" s="9" t="n">
        <v>14</v>
      </c>
      <c r="H52" s="9" t="n">
        <v>12.6</v>
      </c>
      <c r="I52" s="14" t="n">
        <f aca="false">IF(OR(G52="",H52=""),"",1-H52/G52)</f>
        <v>0.1</v>
      </c>
      <c r="J52" s="10" t="n">
        <f aca="false">IF(OR(B52="",C52=""),"",ROUND(MOD(C52-B52,1)*1440,0))</f>
        <v>149</v>
      </c>
      <c r="K52" s="9" t="s">
        <v>86</v>
      </c>
      <c r="L52" s="9" t="s">
        <v>87</v>
      </c>
      <c r="M52" s="9" t="s">
        <v>88</v>
      </c>
      <c r="N52" s="9"/>
    </row>
    <row r="53" customFormat="false" ht="15" hidden="false" customHeight="true" outlineLevel="0" collapsed="false">
      <c r="A53" s="8" t="n">
        <v>46306</v>
      </c>
      <c r="B53" s="13" t="n">
        <v>0.472916666666667</v>
      </c>
      <c r="C53" s="13" t="n">
        <v>0.580555555555556</v>
      </c>
      <c r="D53" s="9" t="n">
        <v>1</v>
      </c>
      <c r="E53" s="9" t="s">
        <v>59</v>
      </c>
      <c r="F53" s="9" t="s">
        <v>36</v>
      </c>
      <c r="G53" s="9" t="n">
        <v>14</v>
      </c>
      <c r="H53" s="9" t="n">
        <v>12.7</v>
      </c>
      <c r="I53" s="14" t="n">
        <f aca="false">IF(OR(G53="",H53=""),"",1-H53/G53)</f>
        <v>0.0928571428571429</v>
      </c>
      <c r="J53" s="10" t="n">
        <f aca="false">IF(OR(B53="",C53=""),"",ROUND(MOD(C53-B53,1)*1440,0))</f>
        <v>155</v>
      </c>
      <c r="K53" s="9" t="s">
        <v>86</v>
      </c>
      <c r="L53" s="9" t="s">
        <v>87</v>
      </c>
      <c r="M53" s="9" t="s">
        <v>88</v>
      </c>
      <c r="N53" s="9"/>
    </row>
    <row r="54" customFormat="false" ht="15" hidden="false" customHeight="true" outlineLevel="0" collapsed="false">
      <c r="A54" s="8" t="n">
        <v>46306</v>
      </c>
      <c r="B54" s="13" t="n">
        <v>0.5875</v>
      </c>
      <c r="C54" s="13" t="n">
        <v>0.691666666666667</v>
      </c>
      <c r="D54" s="9" t="n">
        <v>1</v>
      </c>
      <c r="E54" s="9" t="s">
        <v>59</v>
      </c>
      <c r="F54" s="9" t="s">
        <v>36</v>
      </c>
      <c r="G54" s="9" t="n">
        <v>14</v>
      </c>
      <c r="H54" s="9" t="n">
        <v>12.6</v>
      </c>
      <c r="I54" s="14" t="n">
        <f aca="false">IF(OR(G54="",H54=""),"",1-H54/G54)</f>
        <v>0.1</v>
      </c>
      <c r="J54" s="10" t="n">
        <f aca="false">IF(OR(B54="",C54=""),"",ROUND(MOD(C54-B54,1)*1440,0))</f>
        <v>150</v>
      </c>
      <c r="K54" s="9" t="s">
        <v>86</v>
      </c>
      <c r="L54" s="9" t="s">
        <v>87</v>
      </c>
      <c r="M54" s="9" t="s">
        <v>88</v>
      </c>
      <c r="N54" s="9"/>
    </row>
    <row r="55" customFormat="false" ht="15" hidden="false" customHeight="true" outlineLevel="0" collapsed="false">
      <c r="A55" s="8" t="n">
        <v>46306</v>
      </c>
      <c r="B55" s="13" t="n">
        <v>0.702083333333333</v>
      </c>
      <c r="C55" s="13" t="n">
        <v>0.808333333333333</v>
      </c>
      <c r="D55" s="9" t="n">
        <v>1</v>
      </c>
      <c r="E55" s="9" t="s">
        <v>59</v>
      </c>
      <c r="F55" s="9" t="s">
        <v>36</v>
      </c>
      <c r="G55" s="9" t="n">
        <v>14</v>
      </c>
      <c r="H55" s="9" t="n">
        <v>12.6</v>
      </c>
      <c r="I55" s="14" t="n">
        <f aca="false">IF(OR(G55="",H55=""),"",1-H55/G55)</f>
        <v>0.1</v>
      </c>
      <c r="J55" s="10" t="n">
        <f aca="false">IF(OR(B55="",C55=""),"",ROUND(MOD(C55-B55,1)*1440,0))</f>
        <v>153</v>
      </c>
      <c r="K55" s="9" t="s">
        <v>86</v>
      </c>
      <c r="L55" s="9" t="s">
        <v>87</v>
      </c>
      <c r="M55" s="9" t="s">
        <v>88</v>
      </c>
      <c r="N55" s="9"/>
    </row>
    <row r="56" customFormat="false" ht="15" hidden="false" customHeight="true" outlineLevel="0" collapsed="false">
      <c r="A56" s="8" t="n">
        <v>46306</v>
      </c>
      <c r="B56" s="13" t="n">
        <v>0.814583333333333</v>
      </c>
      <c r="C56" s="13" t="n">
        <v>0.919444444444444</v>
      </c>
      <c r="D56" s="9" t="n">
        <v>1</v>
      </c>
      <c r="E56" s="9" t="s">
        <v>59</v>
      </c>
      <c r="F56" s="9" t="s">
        <v>36</v>
      </c>
      <c r="G56" s="9" t="n">
        <v>14</v>
      </c>
      <c r="H56" s="9" t="n">
        <v>12.6</v>
      </c>
      <c r="I56" s="14" t="n">
        <f aca="false">IF(OR(G56="",H56=""),"",1-H56/G56)</f>
        <v>0.1</v>
      </c>
      <c r="J56" s="10" t="n">
        <f aca="false">IF(OR(B56="",C56=""),"",ROUND(MOD(C56-B56,1)*1440,0))</f>
        <v>151</v>
      </c>
      <c r="K56" s="9" t="s">
        <v>86</v>
      </c>
      <c r="L56" s="9" t="s">
        <v>94</v>
      </c>
      <c r="M56" s="9" t="s">
        <v>88</v>
      </c>
      <c r="N56" s="9"/>
    </row>
    <row r="57" customFormat="false" ht="15" hidden="false" customHeight="true" outlineLevel="0" collapsed="false">
      <c r="A57" s="8" t="n">
        <v>46306</v>
      </c>
      <c r="B57" s="13" t="n">
        <v>0.927777777777778</v>
      </c>
      <c r="C57" s="13" t="n">
        <v>0.0222222222222222</v>
      </c>
      <c r="D57" s="9" t="n">
        <v>1</v>
      </c>
      <c r="E57" s="9" t="s">
        <v>59</v>
      </c>
      <c r="F57" s="9" t="s">
        <v>36</v>
      </c>
      <c r="G57" s="9" t="n">
        <v>10</v>
      </c>
      <c r="H57" s="9" t="n">
        <v>8.6</v>
      </c>
      <c r="I57" s="14" t="n">
        <f aca="false">IF(OR(G57="",H57=""),"",1-H57/G57)</f>
        <v>0.14</v>
      </c>
      <c r="J57" s="10" t="n">
        <f aca="false">IF(OR(B57="",C57=""),"",ROUND(MOD(C57-B57,1)*1440,0))</f>
        <v>136</v>
      </c>
      <c r="K57" s="9" t="s">
        <v>86</v>
      </c>
      <c r="L57" s="9" t="s">
        <v>94</v>
      </c>
      <c r="M57" s="9" t="s">
        <v>88</v>
      </c>
      <c r="N57" s="9" t="s">
        <v>98</v>
      </c>
    </row>
    <row r="58" customFormat="false" ht="15" hidden="false" customHeight="true" outlineLevel="0" collapsed="false">
      <c r="A58" s="8" t="n">
        <v>46307</v>
      </c>
      <c r="B58" s="13" t="n">
        <v>0.364583333333333</v>
      </c>
      <c r="C58" s="13" t="n">
        <v>0.4375</v>
      </c>
      <c r="D58" s="9" t="n">
        <v>1</v>
      </c>
      <c r="E58" s="9" t="s">
        <v>90</v>
      </c>
      <c r="F58" s="9" t="s">
        <v>36</v>
      </c>
      <c r="G58" s="9" t="n">
        <v>8</v>
      </c>
      <c r="H58" s="9" t="n">
        <v>7.2</v>
      </c>
      <c r="I58" s="14" t="n">
        <f aca="false">IF(OR(G58="",H58=""),"",1-H58/G58)</f>
        <v>0.1</v>
      </c>
      <c r="J58" s="10" t="n">
        <f aca="false">IF(OR(B58="",C58=""),"",ROUND(MOD(C58-B58,1)*1440,0))</f>
        <v>105</v>
      </c>
      <c r="K58" s="9" t="s">
        <v>91</v>
      </c>
      <c r="L58" s="9" t="s">
        <v>87</v>
      </c>
      <c r="M58" s="9" t="s">
        <v>88</v>
      </c>
      <c r="N58" s="9"/>
    </row>
    <row r="59" customFormat="false" ht="15" hidden="false" customHeight="true" outlineLevel="0" collapsed="false">
      <c r="A59" s="8" t="n">
        <v>46307</v>
      </c>
      <c r="B59" s="13" t="n">
        <v>0.446527777777778</v>
      </c>
      <c r="C59" s="13" t="n">
        <v>0.525694444444445</v>
      </c>
      <c r="D59" s="9" t="n">
        <v>1</v>
      </c>
      <c r="E59" s="9" t="s">
        <v>85</v>
      </c>
      <c r="F59" s="9" t="s">
        <v>36</v>
      </c>
      <c r="G59" s="9" t="n">
        <v>8</v>
      </c>
      <c r="H59" s="9" t="n">
        <v>7.2</v>
      </c>
      <c r="I59" s="14" t="n">
        <f aca="false">IF(OR(G59="",H59=""),"",1-H59/G59)</f>
        <v>0.1</v>
      </c>
      <c r="J59" s="10" t="n">
        <f aca="false">IF(OR(B59="",C59=""),"",ROUND(MOD(C59-B59,1)*1440,0))</f>
        <v>114</v>
      </c>
      <c r="K59" s="9" t="s">
        <v>92</v>
      </c>
      <c r="L59" s="9" t="s">
        <v>87</v>
      </c>
      <c r="M59" s="9" t="s">
        <v>88</v>
      </c>
      <c r="N59" s="9"/>
    </row>
    <row r="60" customFormat="false" ht="15" hidden="false" customHeight="true" outlineLevel="0" collapsed="false">
      <c r="A60" s="8" t="n">
        <v>46307</v>
      </c>
      <c r="B60" s="13" t="n">
        <v>0.535416666666667</v>
      </c>
      <c r="C60" s="13" t="n">
        <v>0.611111111111111</v>
      </c>
      <c r="D60" s="9" t="n">
        <v>1</v>
      </c>
      <c r="E60" s="9" t="s">
        <v>93</v>
      </c>
      <c r="F60" s="9" t="s">
        <v>36</v>
      </c>
      <c r="G60" s="9" t="n">
        <v>8</v>
      </c>
      <c r="H60" s="9" t="n">
        <v>7.2</v>
      </c>
      <c r="I60" s="14" t="n">
        <f aca="false">IF(OR(G60="",H60=""),"",1-H60/G60)</f>
        <v>0.1</v>
      </c>
      <c r="J60" s="10" t="n">
        <f aca="false">IF(OR(B60="",C60=""),"",ROUND(MOD(C60-B60,1)*1440,0))</f>
        <v>109</v>
      </c>
      <c r="K60" s="9" t="s">
        <v>86</v>
      </c>
      <c r="L60" s="9" t="s">
        <v>87</v>
      </c>
      <c r="M60" s="9" t="s">
        <v>88</v>
      </c>
      <c r="N60" s="9"/>
    </row>
    <row r="61" customFormat="false" ht="15" hidden="false" customHeight="true" outlineLevel="0" collapsed="false">
      <c r="A61" s="8" t="n">
        <v>46307</v>
      </c>
      <c r="B61" s="13" t="n">
        <v>0.619444444444445</v>
      </c>
      <c r="C61" s="13" t="n">
        <v>0.697222222222222</v>
      </c>
      <c r="D61" s="9" t="n">
        <v>1</v>
      </c>
      <c r="E61" s="9" t="s">
        <v>95</v>
      </c>
      <c r="F61" s="9" t="s">
        <v>36</v>
      </c>
      <c r="G61" s="9" t="n">
        <v>8</v>
      </c>
      <c r="H61" s="9" t="n">
        <v>7.2</v>
      </c>
      <c r="I61" s="14" t="n">
        <f aca="false">IF(OR(G61="",H61=""),"",1-H61/G61)</f>
        <v>0.1</v>
      </c>
      <c r="J61" s="10" t="n">
        <f aca="false">IF(OR(B61="",C61=""),"",ROUND(MOD(C61-B61,1)*1440,0))</f>
        <v>112</v>
      </c>
      <c r="K61" s="9" t="s">
        <v>92</v>
      </c>
      <c r="L61" s="9" t="s">
        <v>87</v>
      </c>
      <c r="M61" s="9" t="s">
        <v>88</v>
      </c>
      <c r="N61" s="9"/>
    </row>
    <row r="62" customFormat="false" ht="15" hidden="false" customHeight="true" outlineLevel="0" collapsed="false">
      <c r="A62" s="8" t="n">
        <v>46307</v>
      </c>
      <c r="B62" s="13" t="n">
        <v>0.704166666666667</v>
      </c>
      <c r="C62" s="13" t="n">
        <v>0.808333333333333</v>
      </c>
      <c r="D62" s="9" t="n">
        <v>1</v>
      </c>
      <c r="E62" s="9" t="s">
        <v>85</v>
      </c>
      <c r="F62" s="9" t="s">
        <v>36</v>
      </c>
      <c r="G62" s="9" t="n">
        <v>14</v>
      </c>
      <c r="H62" s="9" t="n">
        <v>12.7</v>
      </c>
      <c r="I62" s="14" t="n">
        <f aca="false">IF(OR(G62="",H62=""),"",1-H62/G62)</f>
        <v>0.0928571428571429</v>
      </c>
      <c r="J62" s="10" t="n">
        <f aca="false">IF(OR(B62="",C62=""),"",ROUND(MOD(C62-B62,1)*1440,0))</f>
        <v>150</v>
      </c>
      <c r="K62" s="9" t="s">
        <v>92</v>
      </c>
      <c r="L62" s="9" t="s">
        <v>87</v>
      </c>
      <c r="M62" s="9" t="s">
        <v>88</v>
      </c>
      <c r="N62" s="9"/>
    </row>
    <row r="63" customFormat="false" ht="15" hidden="false" customHeight="true" outlineLevel="0" collapsed="false">
      <c r="A63" s="8" t="n">
        <v>46307</v>
      </c>
      <c r="B63" s="13" t="n">
        <v>0.81875</v>
      </c>
      <c r="C63" s="13" t="n">
        <v>0.891666666666667</v>
      </c>
      <c r="D63" s="9" t="n">
        <v>1</v>
      </c>
      <c r="E63" s="9" t="s">
        <v>85</v>
      </c>
      <c r="F63" s="9" t="s">
        <v>36</v>
      </c>
      <c r="G63" s="9" t="n">
        <v>8</v>
      </c>
      <c r="H63" s="9" t="n">
        <v>7.1</v>
      </c>
      <c r="I63" s="14" t="n">
        <f aca="false">IF(OR(G63="",H63=""),"",1-H63/G63)</f>
        <v>0.1125</v>
      </c>
      <c r="J63" s="10" t="n">
        <f aca="false">IF(OR(B63="",C63=""),"",ROUND(MOD(C63-B63,1)*1440,0))</f>
        <v>105</v>
      </c>
      <c r="K63" s="9" t="s">
        <v>86</v>
      </c>
      <c r="L63" s="9" t="s">
        <v>94</v>
      </c>
      <c r="M63" s="9" t="s">
        <v>88</v>
      </c>
      <c r="N63" s="9"/>
    </row>
    <row r="64" customFormat="false" ht="15" hidden="false" customHeight="true" outlineLevel="0" collapsed="false">
      <c r="A64" s="8" t="n">
        <v>46307</v>
      </c>
      <c r="B64" s="13" t="n">
        <v>0.898611111111111</v>
      </c>
      <c r="C64" s="13" t="n">
        <v>0.977777777777778</v>
      </c>
      <c r="D64" s="9" t="n">
        <v>1</v>
      </c>
      <c r="E64" s="9" t="s">
        <v>90</v>
      </c>
      <c r="F64" s="9" t="s">
        <v>36</v>
      </c>
      <c r="G64" s="9" t="n">
        <v>8</v>
      </c>
      <c r="H64" s="9" t="n">
        <v>7.1</v>
      </c>
      <c r="I64" s="14" t="n">
        <f aca="false">IF(OR(G64="",H64=""),"",1-H64/G64)</f>
        <v>0.1125</v>
      </c>
      <c r="J64" s="10" t="n">
        <f aca="false">IF(OR(B64="",C64=""),"",ROUND(MOD(C64-B64,1)*1440,0))</f>
        <v>114</v>
      </c>
      <c r="K64" s="9" t="s">
        <v>91</v>
      </c>
      <c r="L64" s="9" t="s">
        <v>94</v>
      </c>
      <c r="M64" s="9" t="s">
        <v>88</v>
      </c>
      <c r="N64" s="9"/>
    </row>
    <row r="65" customFormat="false" ht="15" hidden="false" customHeight="true" outlineLevel="0" collapsed="false">
      <c r="A65" s="8" t="n">
        <v>46309</v>
      </c>
      <c r="B65" s="13" t="n">
        <v>0.364583333333333</v>
      </c>
      <c r="C65" s="13" t="n">
        <v>0.464583333333333</v>
      </c>
      <c r="D65" s="9" t="n">
        <v>1</v>
      </c>
      <c r="E65" s="9" t="s">
        <v>85</v>
      </c>
      <c r="F65" s="9" t="s">
        <v>36</v>
      </c>
      <c r="G65" s="9" t="n">
        <v>12.2</v>
      </c>
      <c r="H65" s="9" t="n">
        <v>11</v>
      </c>
      <c r="I65" s="14" t="n">
        <f aca="false">IF(OR(G65="",H65=""),"",1-H65/G65)</f>
        <v>0.0983606557377049</v>
      </c>
      <c r="J65" s="10" t="n">
        <f aca="false">IF(OR(B65="",C65=""),"",ROUND(MOD(C65-B65,1)*1440,0))</f>
        <v>144</v>
      </c>
      <c r="K65" s="9" t="s">
        <v>86</v>
      </c>
      <c r="L65" s="9" t="s">
        <v>87</v>
      </c>
      <c r="M65" s="9" t="s">
        <v>88</v>
      </c>
      <c r="N65" s="9"/>
    </row>
    <row r="66" customFormat="false" ht="15" hidden="false" customHeight="true" outlineLevel="0" collapsed="false">
      <c r="A66" s="8" t="n">
        <v>46309</v>
      </c>
      <c r="B66" s="13" t="n">
        <v>0.471527777777778</v>
      </c>
      <c r="C66" s="13" t="n">
        <v>0.544444444444444</v>
      </c>
      <c r="D66" s="9" t="n">
        <v>1</v>
      </c>
      <c r="E66" s="9" t="s">
        <v>85</v>
      </c>
      <c r="F66" s="9" t="s">
        <v>36</v>
      </c>
      <c r="G66" s="9" t="n">
        <v>8</v>
      </c>
      <c r="H66" s="9" t="n">
        <v>7.2</v>
      </c>
      <c r="I66" s="14" t="n">
        <f aca="false">IF(OR(G66="",H66=""),"",1-H66/G66)</f>
        <v>0.1</v>
      </c>
      <c r="J66" s="10" t="n">
        <f aca="false">IF(OR(B66="",C66=""),"",ROUND(MOD(C66-B66,1)*1440,0))</f>
        <v>105</v>
      </c>
      <c r="K66" s="9" t="s">
        <v>92</v>
      </c>
      <c r="L66" s="9" t="s">
        <v>87</v>
      </c>
      <c r="M66" s="9" t="s">
        <v>88</v>
      </c>
      <c r="N66" s="9"/>
    </row>
    <row r="67" customFormat="false" ht="15" hidden="false" customHeight="true" outlineLevel="0" collapsed="false">
      <c r="A67" s="8" t="n">
        <v>46309</v>
      </c>
      <c r="B67" s="13" t="n">
        <v>0.55</v>
      </c>
      <c r="C67" s="13" t="n">
        <v>0.636111111111111</v>
      </c>
      <c r="D67" s="9" t="n">
        <v>1</v>
      </c>
      <c r="E67" s="9" t="s">
        <v>90</v>
      </c>
      <c r="F67" s="9" t="s">
        <v>36</v>
      </c>
      <c r="G67" s="9" t="n">
        <v>8</v>
      </c>
      <c r="H67" s="9" t="n">
        <v>7.2</v>
      </c>
      <c r="I67" s="14" t="n">
        <f aca="false">IF(OR(G67="",H67=""),"",1-H67/G67)</f>
        <v>0.1</v>
      </c>
      <c r="J67" s="10" t="n">
        <f aca="false">IF(OR(B67="",C67=""),"",ROUND(MOD(C67-B67,1)*1440,0))</f>
        <v>124</v>
      </c>
      <c r="K67" s="9" t="s">
        <v>92</v>
      </c>
      <c r="L67" s="9" t="s">
        <v>87</v>
      </c>
      <c r="M67" s="9" t="s">
        <v>88</v>
      </c>
      <c r="N67" s="9"/>
    </row>
    <row r="68" customFormat="false" ht="15" hidden="false" customHeight="true" outlineLevel="0" collapsed="false">
      <c r="A68" s="8" t="n">
        <v>46309</v>
      </c>
      <c r="B68" s="13" t="n">
        <v>0.642361111111111</v>
      </c>
      <c r="C68" s="13" t="n">
        <v>0.733333333333333</v>
      </c>
      <c r="D68" s="9" t="n">
        <v>1</v>
      </c>
      <c r="E68" s="9" t="s">
        <v>85</v>
      </c>
      <c r="F68" s="9" t="s">
        <v>36</v>
      </c>
      <c r="G68" s="9" t="n">
        <v>10.7</v>
      </c>
      <c r="H68" s="9" t="n">
        <v>9.7</v>
      </c>
      <c r="I68" s="14" t="n">
        <f aca="false">IF(OR(G68="",H68=""),"",1-H68/G68)</f>
        <v>0.0934579439252337</v>
      </c>
      <c r="J68" s="10" t="n">
        <f aca="false">IF(OR(B68="",C68=""),"",ROUND(MOD(C68-B68,1)*1440,0))</f>
        <v>131</v>
      </c>
      <c r="K68" s="9" t="s">
        <v>92</v>
      </c>
      <c r="L68" s="9" t="s">
        <v>87</v>
      </c>
      <c r="M68" s="9" t="s">
        <v>88</v>
      </c>
      <c r="N68" s="9"/>
    </row>
    <row r="69" customFormat="false" ht="15" hidden="false" customHeight="true" outlineLevel="0" collapsed="false">
      <c r="A69" s="8" t="n">
        <v>46309</v>
      </c>
      <c r="B69" s="13" t="n">
        <v>0.74375</v>
      </c>
      <c r="C69" s="13" t="n">
        <v>0.81875</v>
      </c>
      <c r="D69" s="9" t="n">
        <v>1</v>
      </c>
      <c r="E69" s="9" t="s">
        <v>93</v>
      </c>
      <c r="F69" s="9" t="s">
        <v>36</v>
      </c>
      <c r="G69" s="9" t="n">
        <v>8</v>
      </c>
      <c r="H69" s="9" t="n">
        <v>7.2</v>
      </c>
      <c r="I69" s="14" t="n">
        <f aca="false">IF(OR(G69="",H69=""),"",1-H69/G69)</f>
        <v>0.1</v>
      </c>
      <c r="J69" s="10" t="n">
        <f aca="false">IF(OR(B69="",C69=""),"",ROUND(MOD(C69-B69,1)*1440,0))</f>
        <v>108</v>
      </c>
      <c r="K69" s="9" t="s">
        <v>86</v>
      </c>
      <c r="L69" s="9" t="s">
        <v>94</v>
      </c>
      <c r="M69" s="9" t="s">
        <v>88</v>
      </c>
      <c r="N69" s="9"/>
    </row>
    <row r="70" customFormat="false" ht="15" hidden="false" customHeight="true" outlineLevel="0" collapsed="false">
      <c r="A70" s="8" t="n">
        <v>46309</v>
      </c>
      <c r="B70" s="13" t="n">
        <v>0.826388888888889</v>
      </c>
      <c r="C70" s="13" t="n">
        <v>0.904861111111111</v>
      </c>
      <c r="D70" s="9" t="n">
        <v>1</v>
      </c>
      <c r="E70" s="9" t="s">
        <v>90</v>
      </c>
      <c r="F70" s="9" t="s">
        <v>36</v>
      </c>
      <c r="G70" s="9" t="n">
        <v>8</v>
      </c>
      <c r="H70" s="9" t="n">
        <v>7.2</v>
      </c>
      <c r="I70" s="14" t="n">
        <f aca="false">IF(OR(G70="",H70=""),"",1-H70/G70)</f>
        <v>0.1</v>
      </c>
      <c r="J70" s="10" t="n">
        <f aca="false">IF(OR(B70="",C70=""),"",ROUND(MOD(C70-B70,1)*1440,0))</f>
        <v>113</v>
      </c>
      <c r="K70" s="9" t="s">
        <v>86</v>
      </c>
      <c r="L70" s="9" t="s">
        <v>94</v>
      </c>
      <c r="M70" s="9" t="s">
        <v>88</v>
      </c>
      <c r="N70" s="9"/>
    </row>
    <row r="71" customFormat="false" ht="15" hidden="false" customHeight="true" outlineLevel="0" collapsed="false">
      <c r="A71" s="8" t="n">
        <v>46309</v>
      </c>
      <c r="B71" s="13" t="n">
        <v>0.911111111111111</v>
      </c>
      <c r="C71" s="13" t="n">
        <v>0.00555555555555556</v>
      </c>
      <c r="D71" s="9" t="n">
        <v>1</v>
      </c>
      <c r="E71" s="9" t="s">
        <v>85</v>
      </c>
      <c r="F71" s="9" t="s">
        <v>36</v>
      </c>
      <c r="G71" s="9" t="n">
        <v>11.1</v>
      </c>
      <c r="H71" s="9" t="n">
        <v>10</v>
      </c>
      <c r="I71" s="14" t="n">
        <f aca="false">IF(OR(G71="",H71=""),"",1-H71/G71)</f>
        <v>0.0990990990990991</v>
      </c>
      <c r="J71" s="10" t="n">
        <f aca="false">IF(OR(B71="",C71=""),"",ROUND(MOD(C71-B71,1)*1440,0))</f>
        <v>136</v>
      </c>
      <c r="K71" s="9" t="s">
        <v>91</v>
      </c>
      <c r="L71" s="9" t="s">
        <v>94</v>
      </c>
      <c r="M71" s="9" t="s">
        <v>88</v>
      </c>
      <c r="N71" s="9"/>
    </row>
    <row r="72" customFormat="false" ht="15" hidden="false" customHeight="true" outlineLevel="0" collapsed="false">
      <c r="A72" s="8" t="n">
        <v>46310</v>
      </c>
      <c r="B72" s="13" t="n">
        <v>0.357638888888889</v>
      </c>
      <c r="C72" s="13" t="n">
        <v>0.464583333333333</v>
      </c>
      <c r="D72" s="9" t="n">
        <v>1</v>
      </c>
      <c r="E72" s="9" t="s">
        <v>69</v>
      </c>
      <c r="F72" s="9" t="s">
        <v>70</v>
      </c>
      <c r="G72" s="9" t="n">
        <v>14</v>
      </c>
      <c r="H72" s="9" t="n">
        <v>13.1</v>
      </c>
      <c r="I72" s="14" t="n">
        <f aca="false">IF(OR(G72="",H72=""),"",1-H72/G72)</f>
        <v>0.0642857142857143</v>
      </c>
      <c r="J72" s="10" t="n">
        <f aca="false">IF(OR(B72="",C72=""),"",ROUND(MOD(C72-B72,1)*1440,0))</f>
        <v>154</v>
      </c>
      <c r="K72" s="9" t="s">
        <v>86</v>
      </c>
      <c r="L72" s="9" t="s">
        <v>87</v>
      </c>
      <c r="M72" s="9" t="s">
        <v>88</v>
      </c>
      <c r="N72" s="9" t="s">
        <v>99</v>
      </c>
    </row>
    <row r="73" customFormat="false" ht="15" hidden="false" customHeight="true" outlineLevel="0" collapsed="false">
      <c r="A73" s="8" t="n">
        <v>46310</v>
      </c>
      <c r="B73" s="13" t="n">
        <v>0.471527777777778</v>
      </c>
      <c r="C73" s="13" t="n">
        <v>0.543055555555556</v>
      </c>
      <c r="D73" s="9" t="n">
        <v>1</v>
      </c>
      <c r="E73" s="9" t="s">
        <v>69</v>
      </c>
      <c r="F73" s="9" t="s">
        <v>70</v>
      </c>
      <c r="G73" s="9" t="n">
        <v>8</v>
      </c>
      <c r="H73" s="9" t="n">
        <v>7.5</v>
      </c>
      <c r="I73" s="14" t="n">
        <f aca="false">IF(OR(G73="",H73=""),"",1-H73/G73)</f>
        <v>0.0625</v>
      </c>
      <c r="J73" s="10" t="n">
        <f aca="false">IF(OR(B73="",C73=""),"",ROUND(MOD(C73-B73,1)*1440,0))</f>
        <v>103</v>
      </c>
      <c r="K73" s="9" t="s">
        <v>91</v>
      </c>
      <c r="L73" s="9" t="s">
        <v>87</v>
      </c>
      <c r="M73" s="9" t="s">
        <v>88</v>
      </c>
      <c r="N73" s="9" t="s">
        <v>99</v>
      </c>
    </row>
    <row r="74" customFormat="false" ht="15" hidden="false" customHeight="true" outlineLevel="0" collapsed="false">
      <c r="A74" s="8" t="n">
        <v>46310</v>
      </c>
      <c r="B74" s="13" t="n">
        <v>0.556944444444445</v>
      </c>
      <c r="C74" s="13" t="n">
        <v>0.629166666666667</v>
      </c>
      <c r="D74" s="9" t="n">
        <v>1</v>
      </c>
      <c r="E74" s="9" t="s">
        <v>90</v>
      </c>
      <c r="F74" s="9" t="s">
        <v>36</v>
      </c>
      <c r="G74" s="9" t="n">
        <v>8</v>
      </c>
      <c r="H74" s="9" t="n">
        <v>7.2</v>
      </c>
      <c r="I74" s="14" t="n">
        <f aca="false">IF(OR(G74="",H74=""),"",1-H74/G74)</f>
        <v>0.1</v>
      </c>
      <c r="J74" s="10" t="n">
        <f aca="false">IF(OR(B74="",C74=""),"",ROUND(MOD(C74-B74,1)*1440,0))</f>
        <v>104</v>
      </c>
      <c r="K74" s="9" t="s">
        <v>86</v>
      </c>
      <c r="L74" s="9" t="s">
        <v>87</v>
      </c>
      <c r="M74" s="9" t="s">
        <v>88</v>
      </c>
      <c r="N74" s="9"/>
    </row>
    <row r="75" customFormat="false" ht="15" hidden="false" customHeight="true" outlineLevel="0" collapsed="false">
      <c r="A75" s="8" t="n">
        <v>46310</v>
      </c>
      <c r="B75" s="13" t="n">
        <v>0.633333333333333</v>
      </c>
      <c r="C75" s="13" t="n">
        <v>0.709722222222222</v>
      </c>
      <c r="D75" s="9" t="n">
        <v>1</v>
      </c>
      <c r="E75" s="9" t="s">
        <v>85</v>
      </c>
      <c r="F75" s="9" t="s">
        <v>36</v>
      </c>
      <c r="G75" s="9" t="n">
        <v>8</v>
      </c>
      <c r="H75" s="9" t="n">
        <v>7.2</v>
      </c>
      <c r="I75" s="14" t="n">
        <f aca="false">IF(OR(G75="",H75=""),"",1-H75/G75)</f>
        <v>0.1</v>
      </c>
      <c r="J75" s="10" t="n">
        <f aca="false">IF(OR(B75="",C75=""),"",ROUND(MOD(C75-B75,1)*1440,0))</f>
        <v>110</v>
      </c>
      <c r="K75" s="9" t="s">
        <v>86</v>
      </c>
      <c r="L75" s="9" t="s">
        <v>87</v>
      </c>
      <c r="M75" s="9" t="s">
        <v>88</v>
      </c>
      <c r="N75" s="9"/>
    </row>
    <row r="76" customFormat="false" ht="15" hidden="false" customHeight="true" outlineLevel="0" collapsed="false">
      <c r="A76" s="8" t="n">
        <v>46310</v>
      </c>
      <c r="B76" s="13" t="n">
        <v>0.720138888888889</v>
      </c>
      <c r="C76" s="13" t="n">
        <v>0.807638888888889</v>
      </c>
      <c r="D76" s="9" t="n">
        <v>1</v>
      </c>
      <c r="E76" s="9" t="s">
        <v>90</v>
      </c>
      <c r="F76" s="9" t="s">
        <v>36</v>
      </c>
      <c r="G76" s="9" t="n">
        <v>9.7</v>
      </c>
      <c r="H76" s="9" t="n">
        <v>8.7</v>
      </c>
      <c r="I76" s="14" t="n">
        <f aca="false">IF(OR(G76="",H76=""),"",1-H76/G76)</f>
        <v>0.103092783505155</v>
      </c>
      <c r="J76" s="10" t="n">
        <f aca="false">IF(OR(B76="",C76=""),"",ROUND(MOD(C76-B76,1)*1440,0))</f>
        <v>126</v>
      </c>
      <c r="K76" s="9" t="s">
        <v>91</v>
      </c>
      <c r="L76" s="9" t="s">
        <v>94</v>
      </c>
      <c r="M76" s="9" t="s">
        <v>88</v>
      </c>
      <c r="N76" s="9"/>
    </row>
    <row r="77" customFormat="false" ht="15" hidden="false" customHeight="true" outlineLevel="0" collapsed="false">
      <c r="A77" s="8" t="n">
        <v>46310</v>
      </c>
      <c r="B77" s="13" t="n">
        <v>0.816666666666667</v>
      </c>
      <c r="C77" s="13" t="n">
        <v>0.919444444444444</v>
      </c>
      <c r="D77" s="9" t="n">
        <v>1</v>
      </c>
      <c r="E77" s="9" t="s">
        <v>85</v>
      </c>
      <c r="F77" s="9" t="s">
        <v>36</v>
      </c>
      <c r="G77" s="9" t="n">
        <v>14</v>
      </c>
      <c r="H77" s="9" t="n">
        <v>12.7</v>
      </c>
      <c r="I77" s="14" t="n">
        <f aca="false">IF(OR(G77="",H77=""),"",1-H77/G77)</f>
        <v>0.0928571428571429</v>
      </c>
      <c r="J77" s="10" t="n">
        <f aca="false">IF(OR(B77="",C77=""),"",ROUND(MOD(C77-B77,1)*1440,0))</f>
        <v>148</v>
      </c>
      <c r="K77" s="9" t="s">
        <v>86</v>
      </c>
      <c r="L77" s="9" t="s">
        <v>94</v>
      </c>
      <c r="M77" s="9" t="s">
        <v>88</v>
      </c>
      <c r="N77" s="9" t="s">
        <v>100</v>
      </c>
    </row>
    <row r="78" customFormat="false" ht="15" hidden="false" customHeight="true" outlineLevel="0" collapsed="false">
      <c r="A78" s="8" t="n">
        <v>46310</v>
      </c>
      <c r="B78" s="13" t="n">
        <v>0.925</v>
      </c>
      <c r="C78" s="13" t="n">
        <v>0.0319444444444444</v>
      </c>
      <c r="D78" s="9" t="n">
        <v>1</v>
      </c>
      <c r="E78" s="9" t="s">
        <v>85</v>
      </c>
      <c r="F78" s="9" t="s">
        <v>36</v>
      </c>
      <c r="G78" s="9" t="n">
        <v>14</v>
      </c>
      <c r="H78" s="9" t="n">
        <v>12.5</v>
      </c>
      <c r="I78" s="14" t="n">
        <f aca="false">IF(OR(G78="",H78=""),"",1-H78/G78)</f>
        <v>0.107142857142857</v>
      </c>
      <c r="J78" s="10" t="n">
        <f aca="false">IF(OR(B78="",C78=""),"",ROUND(MOD(C78-B78,1)*1440,0))</f>
        <v>154</v>
      </c>
      <c r="K78" s="9" t="s">
        <v>92</v>
      </c>
      <c r="L78" s="9" t="s">
        <v>94</v>
      </c>
      <c r="M78" s="9" t="s">
        <v>88</v>
      </c>
      <c r="N78" s="9"/>
    </row>
    <row r="79" customFormat="false" ht="15" hidden="false" customHeight="true" outlineLevel="0" collapsed="false">
      <c r="A79" s="8"/>
      <c r="B79" s="13"/>
      <c r="C79" s="13"/>
      <c r="D79" s="9"/>
      <c r="E79" s="9"/>
      <c r="F79" s="9"/>
      <c r="G79" s="9"/>
      <c r="H79" s="9"/>
      <c r="I79" s="14" t="str">
        <f aca="false">IF(OR(G79="",H79=""),"",1-H79/G79)</f>
        <v/>
      </c>
      <c r="J79" s="10" t="str">
        <f aca="false">IF(OR(B79="",C79=""),"",ROUND(MOD(C79-B79,1)*1440,0))</f>
        <v/>
      </c>
      <c r="K79" s="9"/>
      <c r="L79" s="9"/>
      <c r="M79" s="9"/>
      <c r="N79" s="9"/>
    </row>
    <row r="80" customFormat="false" ht="15" hidden="false" customHeight="true" outlineLevel="0" collapsed="false">
      <c r="A80" s="8"/>
      <c r="B80" s="13"/>
      <c r="C80" s="13"/>
      <c r="D80" s="9"/>
      <c r="E80" s="9"/>
      <c r="F80" s="9"/>
      <c r="G80" s="9"/>
      <c r="H80" s="9"/>
      <c r="I80" s="14" t="str">
        <f aca="false">IF(OR(G80="",H80=""),"",1-H80/G80)</f>
        <v/>
      </c>
      <c r="J80" s="10" t="str">
        <f aca="false">IF(OR(B80="",C80=""),"",ROUND(MOD(C80-B80,1)*1440,0))</f>
        <v/>
      </c>
      <c r="K80" s="9"/>
      <c r="L80" s="9"/>
      <c r="M80" s="9"/>
      <c r="N80" s="9"/>
    </row>
    <row r="81" customFormat="false" ht="15" hidden="false" customHeight="true" outlineLevel="0" collapsed="false">
      <c r="A81" s="8"/>
      <c r="B81" s="13"/>
      <c r="C81" s="13"/>
      <c r="D81" s="9"/>
      <c r="E81" s="9"/>
      <c r="F81" s="9"/>
      <c r="G81" s="9"/>
      <c r="H81" s="9"/>
      <c r="I81" s="14" t="str">
        <f aca="false">IF(OR(G81="",H81=""),"",1-H81/G81)</f>
        <v/>
      </c>
      <c r="J81" s="10" t="str">
        <f aca="false">IF(OR(B81="",C81=""),"",ROUND(MOD(C81-B81,1)*1440,0))</f>
        <v/>
      </c>
      <c r="K81" s="9"/>
      <c r="L81" s="9"/>
      <c r="M81" s="9"/>
      <c r="N81" s="9"/>
    </row>
    <row r="82" customFormat="false" ht="15" hidden="false" customHeight="true" outlineLevel="0" collapsed="false">
      <c r="A82" s="8"/>
      <c r="B82" s="13"/>
      <c r="C82" s="13"/>
      <c r="D82" s="9"/>
      <c r="E82" s="9"/>
      <c r="F82" s="9"/>
      <c r="G82" s="9"/>
      <c r="H82" s="9"/>
      <c r="I82" s="14" t="str">
        <f aca="false">IF(OR(G82="",H82=""),"",1-H82/G82)</f>
        <v/>
      </c>
      <c r="J82" s="10" t="str">
        <f aca="false">IF(OR(B82="",C82=""),"",ROUND(MOD(C82-B82,1)*1440,0))</f>
        <v/>
      </c>
      <c r="K82" s="9"/>
      <c r="L82" s="9"/>
      <c r="M82" s="9"/>
      <c r="N82" s="9"/>
    </row>
    <row r="83" customFormat="false" ht="15" hidden="false" customHeight="true" outlineLevel="0" collapsed="false">
      <c r="A83" s="8"/>
      <c r="B83" s="13"/>
      <c r="C83" s="13"/>
      <c r="D83" s="9"/>
      <c r="E83" s="9"/>
      <c r="F83" s="9"/>
      <c r="G83" s="9"/>
      <c r="H83" s="9"/>
      <c r="I83" s="14" t="str">
        <f aca="false">IF(OR(G83="",H83=""),"",1-H83/G83)</f>
        <v/>
      </c>
      <c r="J83" s="10" t="str">
        <f aca="false">IF(OR(B83="",C83=""),"",ROUND(MOD(C83-B83,1)*1440,0))</f>
        <v/>
      </c>
      <c r="K83" s="9"/>
      <c r="L83" s="9"/>
      <c r="M83" s="9"/>
      <c r="N83" s="9"/>
    </row>
    <row r="84" customFormat="false" ht="15" hidden="false" customHeight="true" outlineLevel="0" collapsed="false">
      <c r="A84" s="8"/>
      <c r="B84" s="13"/>
      <c r="C84" s="13"/>
      <c r="D84" s="9"/>
      <c r="E84" s="9"/>
      <c r="F84" s="9"/>
      <c r="G84" s="9"/>
      <c r="H84" s="9"/>
      <c r="I84" s="14" t="str">
        <f aca="false">IF(OR(G84="",H84=""),"",1-H84/G84)</f>
        <v/>
      </c>
      <c r="J84" s="10" t="str">
        <f aca="false">IF(OR(B84="",C84=""),"",ROUND(MOD(C84-B84,1)*1440,0))</f>
        <v/>
      </c>
      <c r="K84" s="9"/>
      <c r="L84" s="9"/>
      <c r="M84" s="9"/>
      <c r="N84" s="9"/>
    </row>
    <row r="85" customFormat="false" ht="15" hidden="false" customHeight="true" outlineLevel="0" collapsed="false">
      <c r="A85" s="8"/>
      <c r="B85" s="13"/>
      <c r="C85" s="13"/>
      <c r="D85" s="9"/>
      <c r="E85" s="9"/>
      <c r="F85" s="9"/>
      <c r="G85" s="9"/>
      <c r="H85" s="9"/>
      <c r="I85" s="14" t="str">
        <f aca="false">IF(OR(G85="",H85=""),"",1-H85/G85)</f>
        <v/>
      </c>
      <c r="J85" s="10" t="str">
        <f aca="false">IF(OR(B85="",C85=""),"",ROUND(MOD(C85-B85,1)*1440,0))</f>
        <v/>
      </c>
      <c r="K85" s="9"/>
      <c r="L85" s="9"/>
      <c r="M85" s="9"/>
      <c r="N85" s="9"/>
    </row>
    <row r="86" customFormat="false" ht="15" hidden="false" customHeight="true" outlineLevel="0" collapsed="false">
      <c r="A86" s="8"/>
      <c r="B86" s="13"/>
      <c r="C86" s="13"/>
      <c r="D86" s="9"/>
      <c r="E86" s="9"/>
      <c r="F86" s="9"/>
      <c r="G86" s="9"/>
      <c r="H86" s="9"/>
      <c r="I86" s="14" t="str">
        <f aca="false">IF(OR(G86="",H86=""),"",1-H86/G86)</f>
        <v/>
      </c>
      <c r="J86" s="10" t="str">
        <f aca="false">IF(OR(B86="",C86=""),"",ROUND(MOD(C86-B86,1)*1440,0))</f>
        <v/>
      </c>
      <c r="K86" s="9"/>
      <c r="L86" s="9"/>
      <c r="M86" s="9"/>
      <c r="N86" s="9"/>
    </row>
    <row r="87" customFormat="false" ht="15" hidden="false" customHeight="true" outlineLevel="0" collapsed="false">
      <c r="A87" s="8"/>
      <c r="B87" s="13"/>
      <c r="C87" s="13"/>
      <c r="D87" s="9"/>
      <c r="E87" s="9"/>
      <c r="F87" s="9"/>
      <c r="G87" s="9"/>
      <c r="H87" s="9"/>
      <c r="I87" s="14" t="str">
        <f aca="false">IF(OR(G87="",H87=""),"",1-H87/G87)</f>
        <v/>
      </c>
      <c r="J87" s="10" t="str">
        <f aca="false">IF(OR(B87="",C87=""),"",ROUND(MOD(C87-B87,1)*1440,0))</f>
        <v/>
      </c>
      <c r="K87" s="9"/>
      <c r="L87" s="9"/>
      <c r="M87" s="9"/>
      <c r="N87" s="9"/>
    </row>
    <row r="88" customFormat="false" ht="15" hidden="false" customHeight="true" outlineLevel="0" collapsed="false">
      <c r="A88" s="8"/>
      <c r="B88" s="13"/>
      <c r="C88" s="13"/>
      <c r="D88" s="9"/>
      <c r="E88" s="9"/>
      <c r="F88" s="9"/>
      <c r="G88" s="9"/>
      <c r="H88" s="9"/>
      <c r="I88" s="14" t="str">
        <f aca="false">IF(OR(G88="",H88=""),"",1-H88/G88)</f>
        <v/>
      </c>
      <c r="J88" s="10" t="str">
        <f aca="false">IF(OR(B88="",C88=""),"",ROUND(MOD(C88-B88,1)*1440,0))</f>
        <v/>
      </c>
      <c r="K88" s="9"/>
      <c r="L88" s="9"/>
      <c r="M88" s="9"/>
      <c r="N88" s="9"/>
    </row>
    <row r="89" customFormat="false" ht="15" hidden="false" customHeight="true" outlineLevel="0" collapsed="false">
      <c r="A89" s="8"/>
      <c r="B89" s="13"/>
      <c r="C89" s="13"/>
      <c r="D89" s="9"/>
      <c r="E89" s="9"/>
      <c r="F89" s="9"/>
      <c r="G89" s="9"/>
      <c r="H89" s="9"/>
      <c r="I89" s="14" t="str">
        <f aca="false">IF(OR(G89="",H89=""),"",1-H89/G89)</f>
        <v/>
      </c>
      <c r="J89" s="10" t="str">
        <f aca="false">IF(OR(B89="",C89=""),"",ROUND(MOD(C89-B89,1)*1440,0))</f>
        <v/>
      </c>
      <c r="K89" s="9"/>
      <c r="L89" s="9"/>
      <c r="M89" s="9"/>
      <c r="N89" s="9"/>
    </row>
    <row r="90" customFormat="false" ht="15" hidden="false" customHeight="true" outlineLevel="0" collapsed="false">
      <c r="A90" s="8"/>
      <c r="B90" s="13"/>
      <c r="C90" s="13"/>
      <c r="D90" s="9"/>
      <c r="E90" s="9"/>
      <c r="F90" s="9"/>
      <c r="G90" s="9"/>
      <c r="H90" s="9"/>
      <c r="I90" s="14" t="str">
        <f aca="false">IF(OR(G90="",H90=""),"",1-H90/G90)</f>
        <v/>
      </c>
      <c r="J90" s="10" t="str">
        <f aca="false">IF(OR(B90="",C90=""),"",ROUND(MOD(C90-B90,1)*1440,0))</f>
        <v/>
      </c>
      <c r="K90" s="9"/>
      <c r="L90" s="9"/>
      <c r="M90" s="9"/>
      <c r="N90" s="9"/>
    </row>
    <row r="91" customFormat="false" ht="15" hidden="false" customHeight="true" outlineLevel="0" collapsed="false">
      <c r="A91" s="8"/>
      <c r="B91" s="13"/>
      <c r="C91" s="13"/>
      <c r="D91" s="9"/>
      <c r="E91" s="9"/>
      <c r="F91" s="9"/>
      <c r="G91" s="9"/>
      <c r="H91" s="9"/>
      <c r="I91" s="14" t="str">
        <f aca="false">IF(OR(G91="",H91=""),"",1-H91/G91)</f>
        <v/>
      </c>
      <c r="J91" s="10" t="str">
        <f aca="false">IF(OR(B91="",C91=""),"",ROUND(MOD(C91-B91,1)*1440,0))</f>
        <v/>
      </c>
      <c r="K91" s="9"/>
      <c r="L91" s="9"/>
      <c r="M91" s="9"/>
      <c r="N91" s="9"/>
    </row>
    <row r="92" customFormat="false" ht="15" hidden="false" customHeight="true" outlineLevel="0" collapsed="false">
      <c r="A92" s="8"/>
      <c r="B92" s="13"/>
      <c r="C92" s="13"/>
      <c r="D92" s="9"/>
      <c r="E92" s="9"/>
      <c r="F92" s="9"/>
      <c r="G92" s="9"/>
      <c r="H92" s="9"/>
      <c r="I92" s="14" t="str">
        <f aca="false">IF(OR(G92="",H92=""),"",1-H92/G92)</f>
        <v/>
      </c>
      <c r="J92" s="10" t="str">
        <f aca="false">IF(OR(B92="",C92=""),"",ROUND(MOD(C92-B92,1)*1440,0))</f>
        <v/>
      </c>
      <c r="K92" s="9"/>
      <c r="L92" s="9"/>
      <c r="M92" s="9"/>
      <c r="N92" s="9"/>
    </row>
    <row r="93" customFormat="false" ht="15" hidden="false" customHeight="true" outlineLevel="0" collapsed="false">
      <c r="A93" s="8"/>
      <c r="B93" s="13"/>
      <c r="C93" s="13"/>
      <c r="D93" s="9"/>
      <c r="E93" s="9"/>
      <c r="F93" s="9"/>
      <c r="G93" s="9"/>
      <c r="H93" s="9"/>
      <c r="I93" s="14" t="str">
        <f aca="false">IF(OR(G93="",H93=""),"",1-H93/G93)</f>
        <v/>
      </c>
      <c r="J93" s="10" t="str">
        <f aca="false">IF(OR(B93="",C93=""),"",ROUND(MOD(C93-B93,1)*1440,0))</f>
        <v/>
      </c>
      <c r="K93" s="9"/>
      <c r="L93" s="9"/>
      <c r="M93" s="9"/>
      <c r="N93" s="9"/>
    </row>
    <row r="94" customFormat="false" ht="15" hidden="false" customHeight="true" outlineLevel="0" collapsed="false">
      <c r="A94" s="8"/>
      <c r="B94" s="13"/>
      <c r="C94" s="13"/>
      <c r="D94" s="9"/>
      <c r="E94" s="9"/>
      <c r="F94" s="9"/>
      <c r="G94" s="9"/>
      <c r="H94" s="9"/>
      <c r="I94" s="14" t="str">
        <f aca="false">IF(OR(G94="",H94=""),"",1-H94/G94)</f>
        <v/>
      </c>
      <c r="J94" s="10" t="str">
        <f aca="false">IF(OR(B94="",C94=""),"",ROUND(MOD(C94-B94,1)*1440,0))</f>
        <v/>
      </c>
      <c r="K94" s="9"/>
      <c r="L94" s="9"/>
      <c r="M94" s="9"/>
      <c r="N94" s="9"/>
    </row>
    <row r="95" customFormat="false" ht="15" hidden="false" customHeight="true" outlineLevel="0" collapsed="false">
      <c r="A95" s="8"/>
      <c r="B95" s="13"/>
      <c r="C95" s="13"/>
      <c r="D95" s="9"/>
      <c r="E95" s="9"/>
      <c r="F95" s="9"/>
      <c r="G95" s="9"/>
      <c r="H95" s="9"/>
      <c r="I95" s="14" t="str">
        <f aca="false">IF(OR(G95="",H95=""),"",1-H95/G95)</f>
        <v/>
      </c>
      <c r="J95" s="10" t="str">
        <f aca="false">IF(OR(B95="",C95=""),"",ROUND(MOD(C95-B95,1)*1440,0))</f>
        <v/>
      </c>
      <c r="K95" s="9"/>
      <c r="L95" s="9"/>
      <c r="M95" s="9"/>
      <c r="N95" s="9"/>
    </row>
    <row r="96" customFormat="false" ht="15" hidden="false" customHeight="true" outlineLevel="0" collapsed="false">
      <c r="A96" s="8"/>
      <c r="B96" s="13"/>
      <c r="C96" s="13"/>
      <c r="D96" s="9"/>
      <c r="E96" s="9"/>
      <c r="F96" s="9"/>
      <c r="G96" s="9"/>
      <c r="H96" s="9"/>
      <c r="I96" s="14" t="str">
        <f aca="false">IF(OR(G96="",H96=""),"",1-H96/G96)</f>
        <v/>
      </c>
      <c r="J96" s="10" t="str">
        <f aca="false">IF(OR(B96="",C96=""),"",ROUND(MOD(C96-B96,1)*1440,0))</f>
        <v/>
      </c>
      <c r="K96" s="9"/>
      <c r="L96" s="9"/>
      <c r="M96" s="9"/>
      <c r="N96" s="9"/>
    </row>
    <row r="97" customFormat="false" ht="15" hidden="false" customHeight="true" outlineLevel="0" collapsed="false">
      <c r="A97" s="8"/>
      <c r="B97" s="13"/>
      <c r="C97" s="13"/>
      <c r="D97" s="9"/>
      <c r="E97" s="9"/>
      <c r="F97" s="9"/>
      <c r="G97" s="9"/>
      <c r="H97" s="9"/>
      <c r="I97" s="14" t="str">
        <f aca="false">IF(OR(G97="",H97=""),"",1-H97/G97)</f>
        <v/>
      </c>
      <c r="J97" s="10" t="str">
        <f aca="false">IF(OR(B97="",C97=""),"",ROUND(MOD(C97-B97,1)*1440,0))</f>
        <v/>
      </c>
      <c r="K97" s="9"/>
      <c r="L97" s="9"/>
      <c r="M97" s="9"/>
      <c r="N97" s="9"/>
    </row>
    <row r="98" customFormat="false" ht="15" hidden="false" customHeight="true" outlineLevel="0" collapsed="false">
      <c r="A98" s="8"/>
      <c r="B98" s="13"/>
      <c r="C98" s="13"/>
      <c r="D98" s="9"/>
      <c r="E98" s="9"/>
      <c r="F98" s="9"/>
      <c r="G98" s="9"/>
      <c r="H98" s="9"/>
      <c r="I98" s="14" t="str">
        <f aca="false">IF(OR(G98="",H98=""),"",1-H98/G98)</f>
        <v/>
      </c>
      <c r="J98" s="10" t="str">
        <f aca="false">IF(OR(B98="",C98=""),"",ROUND(MOD(C98-B98,1)*1440,0))</f>
        <v/>
      </c>
      <c r="K98" s="9"/>
      <c r="L98" s="9"/>
      <c r="M98" s="9"/>
      <c r="N98" s="9"/>
    </row>
    <row r="99" customFormat="false" ht="15" hidden="false" customHeight="true" outlineLevel="0" collapsed="false">
      <c r="A99" s="8"/>
      <c r="B99" s="13"/>
      <c r="C99" s="13"/>
      <c r="D99" s="9"/>
      <c r="E99" s="9"/>
      <c r="F99" s="9"/>
      <c r="G99" s="9"/>
      <c r="H99" s="9"/>
      <c r="I99" s="14" t="str">
        <f aca="false">IF(OR(G99="",H99=""),"",1-H99/G99)</f>
        <v/>
      </c>
      <c r="J99" s="10" t="str">
        <f aca="false">IF(OR(B99="",C99=""),"",ROUND(MOD(C99-B99,1)*1440,0))</f>
        <v/>
      </c>
      <c r="K99" s="9"/>
      <c r="L99" s="9"/>
      <c r="M99" s="9"/>
      <c r="N99" s="9"/>
    </row>
    <row r="100" customFormat="false" ht="15" hidden="false" customHeight="true" outlineLevel="0" collapsed="false">
      <c r="A100" s="8"/>
      <c r="B100" s="13"/>
      <c r="C100" s="13"/>
      <c r="D100" s="9"/>
      <c r="E100" s="9"/>
      <c r="F100" s="9"/>
      <c r="G100" s="9"/>
      <c r="H100" s="9"/>
      <c r="I100" s="14" t="str">
        <f aca="false">IF(OR(G100="",H100=""),"",1-H100/G100)</f>
        <v/>
      </c>
      <c r="J100" s="10" t="str">
        <f aca="false">IF(OR(B100="",C100=""),"",ROUND(MOD(C100-B100,1)*1440,0))</f>
        <v/>
      </c>
      <c r="K100" s="9"/>
      <c r="L100" s="9"/>
      <c r="M100" s="9"/>
      <c r="N100" s="9"/>
    </row>
    <row r="101" customFormat="false" ht="15" hidden="false" customHeight="true" outlineLevel="0" collapsed="false">
      <c r="A101" s="8"/>
      <c r="B101" s="13"/>
      <c r="C101" s="13"/>
      <c r="D101" s="9"/>
      <c r="E101" s="9"/>
      <c r="F101" s="9"/>
      <c r="G101" s="9"/>
      <c r="H101" s="9"/>
      <c r="I101" s="14" t="str">
        <f aca="false">IF(OR(G101="",H101=""),"",1-H101/G101)</f>
        <v/>
      </c>
      <c r="J101" s="10" t="str">
        <f aca="false">IF(OR(B101="",C101=""),"",ROUND(MOD(C101-B101,1)*1440,0))</f>
        <v/>
      </c>
      <c r="K101" s="9"/>
      <c r="L101" s="9"/>
      <c r="M101" s="9"/>
      <c r="N101" s="9"/>
    </row>
    <row r="102" customFormat="false" ht="15" hidden="false" customHeight="true" outlineLevel="0" collapsed="false">
      <c r="A102" s="8"/>
      <c r="B102" s="13"/>
      <c r="C102" s="13"/>
      <c r="D102" s="9"/>
      <c r="E102" s="9"/>
      <c r="F102" s="9"/>
      <c r="G102" s="9"/>
      <c r="H102" s="9"/>
      <c r="I102" s="14" t="str">
        <f aca="false">IF(OR(G102="",H102=""),"",1-H102/G102)</f>
        <v/>
      </c>
      <c r="J102" s="10" t="str">
        <f aca="false">IF(OR(B102="",C102=""),"",ROUND(MOD(C102-B102,1)*1440,0))</f>
        <v/>
      </c>
      <c r="K102" s="9"/>
      <c r="L102" s="9"/>
      <c r="M102" s="9"/>
      <c r="N102" s="9"/>
    </row>
    <row r="103" customFormat="false" ht="15" hidden="false" customHeight="true" outlineLevel="0" collapsed="false">
      <c r="A103" s="8"/>
      <c r="B103" s="13"/>
      <c r="C103" s="13"/>
      <c r="D103" s="9"/>
      <c r="E103" s="9"/>
      <c r="F103" s="9"/>
      <c r="G103" s="9"/>
      <c r="H103" s="9"/>
      <c r="I103" s="14" t="str">
        <f aca="false">IF(OR(G103="",H103=""),"",1-H103/G103)</f>
        <v/>
      </c>
      <c r="J103" s="10" t="str">
        <f aca="false">IF(OR(B103="",C103=""),"",ROUND(MOD(C103-B103,1)*1440,0))</f>
        <v/>
      </c>
      <c r="K103" s="9"/>
      <c r="L103" s="9"/>
      <c r="M103" s="9"/>
      <c r="N103" s="9"/>
    </row>
    <row r="104" customFormat="false" ht="15" hidden="false" customHeight="true" outlineLevel="0" collapsed="false">
      <c r="A104" s="8"/>
      <c r="B104" s="13"/>
      <c r="C104" s="13"/>
      <c r="D104" s="9"/>
      <c r="E104" s="9"/>
      <c r="F104" s="9"/>
      <c r="G104" s="9"/>
      <c r="H104" s="9"/>
      <c r="I104" s="14" t="str">
        <f aca="false">IF(OR(G104="",H104=""),"",1-H104/G104)</f>
        <v/>
      </c>
      <c r="J104" s="10" t="str">
        <f aca="false">IF(OR(B104="",C104=""),"",ROUND(MOD(C104-B104,1)*1440,0))</f>
        <v/>
      </c>
      <c r="K104" s="9"/>
      <c r="L104" s="9"/>
      <c r="M104" s="9"/>
      <c r="N104" s="9"/>
    </row>
    <row r="105" customFormat="false" ht="15" hidden="false" customHeight="true" outlineLevel="0" collapsed="false">
      <c r="A105" s="8"/>
      <c r="B105" s="13"/>
      <c r="C105" s="13"/>
      <c r="D105" s="9"/>
      <c r="E105" s="9"/>
      <c r="F105" s="9"/>
      <c r="G105" s="9"/>
      <c r="H105" s="9"/>
      <c r="I105" s="14" t="str">
        <f aca="false">IF(OR(G105="",H105=""),"",1-H105/G105)</f>
        <v/>
      </c>
      <c r="J105" s="10" t="str">
        <f aca="false">IF(OR(B105="",C105=""),"",ROUND(MOD(C105-B105,1)*1440,0))</f>
        <v/>
      </c>
      <c r="K105" s="9"/>
      <c r="L105" s="9"/>
      <c r="M105" s="9"/>
      <c r="N105" s="9"/>
    </row>
    <row r="106" customFormat="false" ht="15" hidden="false" customHeight="true" outlineLevel="0" collapsed="false">
      <c r="A106" s="8"/>
      <c r="B106" s="13"/>
      <c r="C106" s="13"/>
      <c r="D106" s="9"/>
      <c r="E106" s="9"/>
      <c r="F106" s="9"/>
      <c r="G106" s="9"/>
      <c r="H106" s="9"/>
      <c r="I106" s="14" t="str">
        <f aca="false">IF(OR(G106="",H106=""),"",1-H106/G106)</f>
        <v/>
      </c>
      <c r="J106" s="10" t="str">
        <f aca="false">IF(OR(B106="",C106=""),"",ROUND(MOD(C106-B106,1)*1440,0))</f>
        <v/>
      </c>
      <c r="K106" s="9"/>
      <c r="L106" s="9"/>
      <c r="M106" s="9"/>
      <c r="N106" s="9"/>
    </row>
    <row r="107" customFormat="false" ht="15" hidden="false" customHeight="true" outlineLevel="0" collapsed="false">
      <c r="A107" s="8"/>
      <c r="B107" s="13"/>
      <c r="C107" s="13"/>
      <c r="D107" s="9"/>
      <c r="E107" s="9"/>
      <c r="F107" s="9"/>
      <c r="G107" s="9"/>
      <c r="H107" s="9"/>
      <c r="I107" s="14" t="str">
        <f aca="false">IF(OR(G107="",H107=""),"",1-H107/G107)</f>
        <v/>
      </c>
      <c r="J107" s="10" t="str">
        <f aca="false">IF(OR(B107="",C107=""),"",ROUND(MOD(C107-B107,1)*1440,0))</f>
        <v/>
      </c>
      <c r="K107" s="9"/>
      <c r="L107" s="9"/>
      <c r="M107" s="9"/>
      <c r="N107" s="9"/>
    </row>
    <row r="108" customFormat="false" ht="15" hidden="false" customHeight="true" outlineLevel="0" collapsed="false">
      <c r="A108" s="8"/>
      <c r="B108" s="13"/>
      <c r="C108" s="13"/>
      <c r="D108" s="9"/>
      <c r="E108" s="9"/>
      <c r="F108" s="9"/>
      <c r="G108" s="9"/>
      <c r="H108" s="9"/>
      <c r="I108" s="14" t="str">
        <f aca="false">IF(OR(G108="",H108=""),"",1-H108/G108)</f>
        <v/>
      </c>
      <c r="J108" s="10" t="str">
        <f aca="false">IF(OR(B108="",C108=""),"",ROUND(MOD(C108-B108,1)*1440,0))</f>
        <v/>
      </c>
      <c r="K108" s="9"/>
      <c r="L108" s="9"/>
      <c r="M108" s="9"/>
      <c r="N108" s="9"/>
    </row>
    <row r="109" customFormat="false" ht="15" hidden="false" customHeight="true" outlineLevel="0" collapsed="false">
      <c r="A109" s="8"/>
      <c r="B109" s="13"/>
      <c r="C109" s="13"/>
      <c r="D109" s="9"/>
      <c r="E109" s="9"/>
      <c r="F109" s="9"/>
      <c r="G109" s="9"/>
      <c r="H109" s="9"/>
      <c r="I109" s="14" t="str">
        <f aca="false">IF(OR(G109="",H109=""),"",1-H109/G109)</f>
        <v/>
      </c>
      <c r="J109" s="10" t="str">
        <f aca="false">IF(OR(B109="",C109=""),"",ROUND(MOD(C109-B109,1)*1440,0))</f>
        <v/>
      </c>
      <c r="K109" s="9"/>
      <c r="L109" s="9"/>
      <c r="M109" s="9"/>
      <c r="N109" s="9"/>
    </row>
    <row r="110" customFormat="false" ht="15" hidden="false" customHeight="true" outlineLevel="0" collapsed="false">
      <c r="A110" s="8"/>
      <c r="B110" s="13"/>
      <c r="C110" s="13"/>
      <c r="D110" s="9"/>
      <c r="E110" s="9"/>
      <c r="F110" s="9"/>
      <c r="G110" s="9"/>
      <c r="H110" s="9"/>
      <c r="I110" s="14" t="str">
        <f aca="false">IF(OR(G110="",H110=""),"",1-H110/G110)</f>
        <v/>
      </c>
      <c r="J110" s="10" t="str">
        <f aca="false">IF(OR(B110="",C110=""),"",ROUND(MOD(C110-B110,1)*1440,0))</f>
        <v/>
      </c>
      <c r="K110" s="9"/>
      <c r="L110" s="9"/>
      <c r="M110" s="9"/>
      <c r="N110" s="9"/>
    </row>
    <row r="111" customFormat="false" ht="15" hidden="false" customHeight="true" outlineLevel="0" collapsed="false">
      <c r="A111" s="8"/>
      <c r="B111" s="13"/>
      <c r="C111" s="13"/>
      <c r="D111" s="9"/>
      <c r="E111" s="9"/>
      <c r="F111" s="9"/>
      <c r="G111" s="9"/>
      <c r="H111" s="9"/>
      <c r="I111" s="14" t="str">
        <f aca="false">IF(OR(G111="",H111=""),"",1-H111/G111)</f>
        <v/>
      </c>
      <c r="J111" s="10" t="str">
        <f aca="false">IF(OR(B111="",C111=""),"",ROUND(MOD(C111-B111,1)*1440,0))</f>
        <v/>
      </c>
      <c r="K111" s="9"/>
      <c r="L111" s="9"/>
      <c r="M111" s="9"/>
      <c r="N111" s="9"/>
    </row>
    <row r="112" customFormat="false" ht="15" hidden="false" customHeight="true" outlineLevel="0" collapsed="false">
      <c r="A112" s="8"/>
      <c r="B112" s="13"/>
      <c r="C112" s="13"/>
      <c r="D112" s="9"/>
      <c r="E112" s="9"/>
      <c r="F112" s="9"/>
      <c r="G112" s="9"/>
      <c r="H112" s="9"/>
      <c r="I112" s="14" t="str">
        <f aca="false">IF(OR(G112="",H112=""),"",1-H112/G112)</f>
        <v/>
      </c>
      <c r="J112" s="10" t="str">
        <f aca="false">IF(OR(B112="",C112=""),"",ROUND(MOD(C112-B112,1)*1440,0))</f>
        <v/>
      </c>
      <c r="K112" s="9"/>
      <c r="L112" s="9"/>
      <c r="M112" s="9"/>
      <c r="N112" s="9"/>
    </row>
    <row r="113" customFormat="false" ht="15" hidden="false" customHeight="true" outlineLevel="0" collapsed="false">
      <c r="A113" s="8"/>
      <c r="B113" s="13"/>
      <c r="C113" s="13"/>
      <c r="D113" s="9"/>
      <c r="E113" s="9"/>
      <c r="F113" s="9"/>
      <c r="G113" s="9"/>
      <c r="H113" s="9"/>
      <c r="I113" s="14" t="str">
        <f aca="false">IF(OR(G113="",H113=""),"",1-H113/G113)</f>
        <v/>
      </c>
      <c r="J113" s="10" t="str">
        <f aca="false">IF(OR(B113="",C113=""),"",ROUND(MOD(C113-B113,1)*1440,0))</f>
        <v/>
      </c>
      <c r="K113" s="9"/>
      <c r="L113" s="9"/>
      <c r="M113" s="9"/>
      <c r="N113" s="9"/>
    </row>
    <row r="114" customFormat="false" ht="15" hidden="false" customHeight="true" outlineLevel="0" collapsed="false">
      <c r="A114" s="8"/>
      <c r="B114" s="13"/>
      <c r="C114" s="13"/>
      <c r="D114" s="9"/>
      <c r="E114" s="9"/>
      <c r="F114" s="9"/>
      <c r="G114" s="9"/>
      <c r="H114" s="9"/>
      <c r="I114" s="14" t="str">
        <f aca="false">IF(OR(G114="",H114=""),"",1-H114/G114)</f>
        <v/>
      </c>
      <c r="J114" s="10" t="str">
        <f aca="false">IF(OR(B114="",C114=""),"",ROUND(MOD(C114-B114,1)*1440,0))</f>
        <v/>
      </c>
      <c r="K114" s="9"/>
      <c r="L114" s="9"/>
      <c r="M114" s="9"/>
      <c r="N114" s="9"/>
    </row>
    <row r="115" customFormat="false" ht="15" hidden="false" customHeight="true" outlineLevel="0" collapsed="false">
      <c r="A115" s="8"/>
      <c r="B115" s="13"/>
      <c r="C115" s="13"/>
      <c r="D115" s="9"/>
      <c r="E115" s="9"/>
      <c r="F115" s="9"/>
      <c r="G115" s="9"/>
      <c r="H115" s="9"/>
      <c r="I115" s="14" t="str">
        <f aca="false">IF(OR(G115="",H115=""),"",1-H115/G115)</f>
        <v/>
      </c>
      <c r="J115" s="10" t="str">
        <f aca="false">IF(OR(B115="",C115=""),"",ROUND(MOD(C115-B115,1)*1440,0))</f>
        <v/>
      </c>
      <c r="K115" s="9"/>
      <c r="L115" s="9"/>
      <c r="M115" s="9"/>
      <c r="N115" s="9"/>
    </row>
    <row r="116" customFormat="false" ht="15" hidden="false" customHeight="true" outlineLevel="0" collapsed="false">
      <c r="A116" s="8"/>
      <c r="B116" s="13"/>
      <c r="C116" s="13"/>
      <c r="D116" s="9"/>
      <c r="E116" s="9"/>
      <c r="F116" s="9"/>
      <c r="G116" s="9"/>
      <c r="H116" s="9"/>
      <c r="I116" s="14" t="str">
        <f aca="false">IF(OR(G116="",H116=""),"",1-H116/G116)</f>
        <v/>
      </c>
      <c r="J116" s="10" t="str">
        <f aca="false">IF(OR(B116="",C116=""),"",ROUND(MOD(C116-B116,1)*1440,0))</f>
        <v/>
      </c>
      <c r="K116" s="9"/>
      <c r="L116" s="9"/>
      <c r="M116" s="9"/>
      <c r="N116" s="9"/>
    </row>
    <row r="117" customFormat="false" ht="15" hidden="false" customHeight="true" outlineLevel="0" collapsed="false">
      <c r="A117" s="8"/>
      <c r="B117" s="13"/>
      <c r="C117" s="13"/>
      <c r="D117" s="9"/>
      <c r="E117" s="9"/>
      <c r="F117" s="9"/>
      <c r="G117" s="9"/>
      <c r="H117" s="9"/>
      <c r="I117" s="14" t="str">
        <f aca="false">IF(OR(G117="",H117=""),"",1-H117/G117)</f>
        <v/>
      </c>
      <c r="J117" s="10" t="str">
        <f aca="false">IF(OR(B117="",C117=""),"",ROUND(MOD(C117-B117,1)*1440,0))</f>
        <v/>
      </c>
      <c r="K117" s="9"/>
      <c r="L117" s="9"/>
      <c r="M117" s="9"/>
      <c r="N117" s="9"/>
    </row>
    <row r="118" customFormat="false" ht="15" hidden="false" customHeight="true" outlineLevel="0" collapsed="false">
      <c r="A118" s="8"/>
      <c r="B118" s="13"/>
      <c r="C118" s="13"/>
      <c r="D118" s="9"/>
      <c r="E118" s="9"/>
      <c r="F118" s="9"/>
      <c r="G118" s="9"/>
      <c r="H118" s="9"/>
      <c r="I118" s="14" t="str">
        <f aca="false">IF(OR(G118="",H118=""),"",1-H118/G118)</f>
        <v/>
      </c>
      <c r="J118" s="10" t="str">
        <f aca="false">IF(OR(B118="",C118=""),"",ROUND(MOD(C118-B118,1)*1440,0))</f>
        <v/>
      </c>
      <c r="K118" s="9"/>
      <c r="L118" s="9"/>
      <c r="M118" s="9"/>
      <c r="N118" s="9"/>
    </row>
    <row r="119" customFormat="false" ht="15" hidden="false" customHeight="true" outlineLevel="0" collapsed="false">
      <c r="A119" s="8"/>
      <c r="B119" s="13"/>
      <c r="C119" s="13"/>
      <c r="D119" s="9"/>
      <c r="E119" s="9"/>
      <c r="F119" s="9"/>
      <c r="G119" s="9"/>
      <c r="H119" s="9"/>
      <c r="I119" s="14" t="str">
        <f aca="false">IF(OR(G119="",H119=""),"",1-H119/G119)</f>
        <v/>
      </c>
      <c r="J119" s="10" t="str">
        <f aca="false">IF(OR(B119="",C119=""),"",ROUND(MOD(C119-B119,1)*1440,0))</f>
        <v/>
      </c>
      <c r="K119" s="9"/>
      <c r="L119" s="9"/>
      <c r="M119" s="9"/>
      <c r="N119" s="9"/>
    </row>
    <row r="120" customFormat="false" ht="15" hidden="false" customHeight="true" outlineLevel="0" collapsed="false">
      <c r="A120" s="8"/>
      <c r="B120" s="13"/>
      <c r="C120" s="13"/>
      <c r="D120" s="9"/>
      <c r="E120" s="9"/>
      <c r="F120" s="9"/>
      <c r="G120" s="9"/>
      <c r="H120" s="9"/>
      <c r="I120" s="14" t="str">
        <f aca="false">IF(OR(G120="",H120=""),"",1-H120/G120)</f>
        <v/>
      </c>
      <c r="J120" s="10" t="str">
        <f aca="false">IF(OR(B120="",C120=""),"",ROUND(MOD(C120-B120,1)*1440,0))</f>
        <v/>
      </c>
      <c r="K120" s="9"/>
      <c r="L120" s="9"/>
      <c r="M120" s="9"/>
      <c r="N120" s="9"/>
    </row>
    <row r="121" customFormat="false" ht="15" hidden="false" customHeight="true" outlineLevel="0" collapsed="false">
      <c r="A121" s="8"/>
      <c r="B121" s="13"/>
      <c r="C121" s="13"/>
      <c r="D121" s="9"/>
      <c r="E121" s="9"/>
      <c r="F121" s="9"/>
      <c r="G121" s="9"/>
      <c r="H121" s="9"/>
      <c r="I121" s="14" t="str">
        <f aca="false">IF(OR(G121="",H121=""),"",1-H121/G121)</f>
        <v/>
      </c>
      <c r="J121" s="10" t="str">
        <f aca="false">IF(OR(B121="",C121=""),"",ROUND(MOD(C121-B121,1)*1440,0))</f>
        <v/>
      </c>
      <c r="K121" s="9"/>
      <c r="L121" s="9"/>
      <c r="M121" s="9"/>
      <c r="N121" s="9"/>
    </row>
    <row r="122" customFormat="false" ht="15" hidden="false" customHeight="true" outlineLevel="0" collapsed="false">
      <c r="A122" s="8"/>
      <c r="B122" s="13"/>
      <c r="C122" s="13"/>
      <c r="D122" s="9"/>
      <c r="E122" s="9"/>
      <c r="F122" s="9"/>
      <c r="G122" s="9"/>
      <c r="H122" s="9"/>
      <c r="I122" s="14" t="str">
        <f aca="false">IF(OR(G122="",H122=""),"",1-H122/G122)</f>
        <v/>
      </c>
      <c r="J122" s="10" t="str">
        <f aca="false">IF(OR(B122="",C122=""),"",ROUND(MOD(C122-B122,1)*1440,0))</f>
        <v/>
      </c>
      <c r="K122" s="9"/>
      <c r="L122" s="9"/>
      <c r="M122" s="9"/>
      <c r="N122" s="9"/>
    </row>
    <row r="123" customFormat="false" ht="15" hidden="false" customHeight="true" outlineLevel="0" collapsed="false">
      <c r="A123" s="8"/>
      <c r="B123" s="13"/>
      <c r="C123" s="13"/>
      <c r="D123" s="9"/>
      <c r="E123" s="9"/>
      <c r="F123" s="9"/>
      <c r="G123" s="9"/>
      <c r="H123" s="9"/>
      <c r="I123" s="14" t="str">
        <f aca="false">IF(OR(G123="",H123=""),"",1-H123/G123)</f>
        <v/>
      </c>
      <c r="J123" s="10" t="str">
        <f aca="false">IF(OR(B123="",C123=""),"",ROUND(MOD(C123-B123,1)*1440,0))</f>
        <v/>
      </c>
      <c r="K123" s="9"/>
      <c r="L123" s="9"/>
      <c r="M123" s="9"/>
      <c r="N123" s="9"/>
    </row>
    <row r="124" customFormat="false" ht="15" hidden="false" customHeight="true" outlineLevel="0" collapsed="false">
      <c r="A124" s="8"/>
      <c r="B124" s="13"/>
      <c r="C124" s="13"/>
      <c r="D124" s="9"/>
      <c r="E124" s="9"/>
      <c r="F124" s="9"/>
      <c r="G124" s="9"/>
      <c r="H124" s="9"/>
      <c r="I124" s="14" t="str">
        <f aca="false">IF(OR(G124="",H124=""),"",1-H124/G124)</f>
        <v/>
      </c>
      <c r="J124" s="10" t="str">
        <f aca="false">IF(OR(B124="",C124=""),"",ROUND(MOD(C124-B124,1)*1440,0))</f>
        <v/>
      </c>
      <c r="K124" s="9"/>
      <c r="L124" s="9"/>
      <c r="M124" s="9"/>
      <c r="N124" s="9"/>
    </row>
    <row r="125" customFormat="false" ht="15" hidden="false" customHeight="true" outlineLevel="0" collapsed="false">
      <c r="A125" s="8"/>
      <c r="B125" s="13"/>
      <c r="C125" s="13"/>
      <c r="D125" s="9"/>
      <c r="E125" s="9"/>
      <c r="F125" s="9"/>
      <c r="G125" s="9"/>
      <c r="H125" s="9"/>
      <c r="I125" s="14" t="str">
        <f aca="false">IF(OR(G125="",H125=""),"",1-H125/G125)</f>
        <v/>
      </c>
      <c r="J125" s="10" t="str">
        <f aca="false">IF(OR(B125="",C125=""),"",ROUND(MOD(C125-B125,1)*1440,0))</f>
        <v/>
      </c>
      <c r="K125" s="9"/>
      <c r="L125" s="9"/>
      <c r="M125" s="9"/>
      <c r="N125" s="9"/>
    </row>
    <row r="126" customFormat="false" ht="15" hidden="false" customHeight="true" outlineLevel="0" collapsed="false">
      <c r="A126" s="8"/>
      <c r="B126" s="13"/>
      <c r="C126" s="13"/>
      <c r="D126" s="9"/>
      <c r="E126" s="9"/>
      <c r="F126" s="9"/>
      <c r="G126" s="9"/>
      <c r="H126" s="9"/>
      <c r="I126" s="14" t="str">
        <f aca="false">IF(OR(G126="",H126=""),"",1-H126/G126)</f>
        <v/>
      </c>
      <c r="J126" s="10" t="str">
        <f aca="false">IF(OR(B126="",C126=""),"",ROUND(MOD(C126-B126,1)*1440,0))</f>
        <v/>
      </c>
      <c r="K126" s="9"/>
      <c r="L126" s="9"/>
      <c r="M126" s="9"/>
      <c r="N126" s="9"/>
    </row>
    <row r="127" customFormat="false" ht="15" hidden="false" customHeight="true" outlineLevel="0" collapsed="false">
      <c r="A127" s="8"/>
      <c r="B127" s="13"/>
      <c r="C127" s="13"/>
      <c r="D127" s="9"/>
      <c r="E127" s="9"/>
      <c r="F127" s="9"/>
      <c r="G127" s="9"/>
      <c r="H127" s="9"/>
      <c r="I127" s="14" t="str">
        <f aca="false">IF(OR(G127="",H127=""),"",1-H127/G127)</f>
        <v/>
      </c>
      <c r="J127" s="10" t="str">
        <f aca="false">IF(OR(B127="",C127=""),"",ROUND(MOD(C127-B127,1)*1440,0))</f>
        <v/>
      </c>
      <c r="K127" s="9"/>
      <c r="L127" s="9"/>
      <c r="M127" s="9"/>
      <c r="N127" s="9"/>
    </row>
    <row r="128" customFormat="false" ht="15" hidden="false" customHeight="true" outlineLevel="0" collapsed="false">
      <c r="A128" s="8"/>
      <c r="B128" s="13"/>
      <c r="C128" s="13"/>
      <c r="D128" s="9"/>
      <c r="E128" s="9"/>
      <c r="F128" s="9"/>
      <c r="G128" s="9"/>
      <c r="H128" s="9"/>
      <c r="I128" s="14" t="str">
        <f aca="false">IF(OR(G128="",H128=""),"",1-H128/G128)</f>
        <v/>
      </c>
      <c r="J128" s="10" t="str">
        <f aca="false">IF(OR(B128="",C128=""),"",ROUND(MOD(C128-B128,1)*1440,0))</f>
        <v/>
      </c>
      <c r="K128" s="9"/>
      <c r="L128" s="9"/>
      <c r="M128" s="9"/>
      <c r="N128" s="9"/>
    </row>
    <row r="129" customFormat="false" ht="15" hidden="false" customHeight="true" outlineLevel="0" collapsed="false">
      <c r="A129" s="8"/>
      <c r="B129" s="13"/>
      <c r="C129" s="13"/>
      <c r="D129" s="9"/>
      <c r="E129" s="9"/>
      <c r="F129" s="9"/>
      <c r="G129" s="9"/>
      <c r="H129" s="9"/>
      <c r="I129" s="14" t="str">
        <f aca="false">IF(OR(G129="",H129=""),"",1-H129/G129)</f>
        <v/>
      </c>
      <c r="J129" s="10" t="str">
        <f aca="false">IF(OR(B129="",C129=""),"",ROUND(MOD(C129-B129,1)*1440,0))</f>
        <v/>
      </c>
      <c r="K129" s="9"/>
      <c r="L129" s="9"/>
      <c r="M129" s="9"/>
      <c r="N129" s="9"/>
    </row>
    <row r="130" customFormat="false" ht="15" hidden="false" customHeight="true" outlineLevel="0" collapsed="false">
      <c r="A130" s="8"/>
      <c r="B130" s="13"/>
      <c r="C130" s="13"/>
      <c r="D130" s="9"/>
      <c r="E130" s="9"/>
      <c r="F130" s="9"/>
      <c r="G130" s="9"/>
      <c r="H130" s="9"/>
      <c r="I130" s="14" t="str">
        <f aca="false">IF(OR(G130="",H130=""),"",1-H130/G130)</f>
        <v/>
      </c>
      <c r="J130" s="10" t="str">
        <f aca="false">IF(OR(B130="",C130=""),"",ROUND(MOD(C130-B130,1)*1440,0))</f>
        <v/>
      </c>
      <c r="K130" s="9"/>
      <c r="L130" s="9"/>
      <c r="M130" s="9"/>
      <c r="N130" s="9"/>
    </row>
    <row r="131" customFormat="false" ht="15" hidden="false" customHeight="true" outlineLevel="0" collapsed="false">
      <c r="A131" s="8"/>
      <c r="B131" s="13"/>
      <c r="C131" s="13"/>
      <c r="D131" s="9"/>
      <c r="E131" s="9"/>
      <c r="F131" s="9"/>
      <c r="G131" s="9"/>
      <c r="H131" s="9"/>
      <c r="I131" s="14" t="str">
        <f aca="false">IF(OR(G131="",H131=""),"",1-H131/G131)</f>
        <v/>
      </c>
      <c r="J131" s="10" t="str">
        <f aca="false">IF(OR(B131="",C131=""),"",ROUND(MOD(C131-B131,1)*1440,0))</f>
        <v/>
      </c>
      <c r="K131" s="9"/>
      <c r="L131" s="9"/>
      <c r="M131" s="9"/>
      <c r="N131" s="9"/>
    </row>
    <row r="132" customFormat="false" ht="15" hidden="false" customHeight="true" outlineLevel="0" collapsed="false">
      <c r="A132" s="8"/>
      <c r="B132" s="13"/>
      <c r="C132" s="13"/>
      <c r="D132" s="9"/>
      <c r="E132" s="9"/>
      <c r="F132" s="9"/>
      <c r="G132" s="9"/>
      <c r="H132" s="9"/>
      <c r="I132" s="14" t="str">
        <f aca="false">IF(OR(G132="",H132=""),"",1-H132/G132)</f>
        <v/>
      </c>
      <c r="J132" s="10" t="str">
        <f aca="false">IF(OR(B132="",C132=""),"",ROUND(MOD(C132-B132,1)*1440,0))</f>
        <v/>
      </c>
      <c r="K132" s="9"/>
      <c r="L132" s="9"/>
      <c r="M132" s="9"/>
      <c r="N132" s="9"/>
    </row>
    <row r="133" customFormat="false" ht="15" hidden="false" customHeight="true" outlineLevel="0" collapsed="false">
      <c r="A133" s="8"/>
      <c r="B133" s="13"/>
      <c r="C133" s="13"/>
      <c r="D133" s="9"/>
      <c r="E133" s="9"/>
      <c r="F133" s="9"/>
      <c r="G133" s="9"/>
      <c r="H133" s="9"/>
      <c r="I133" s="14" t="str">
        <f aca="false">IF(OR(G133="",H133=""),"",1-H133/G133)</f>
        <v/>
      </c>
      <c r="J133" s="10" t="str">
        <f aca="false">IF(OR(B133="",C133=""),"",ROUND(MOD(C133-B133,1)*1440,0))</f>
        <v/>
      </c>
      <c r="K133" s="9"/>
      <c r="L133" s="9"/>
      <c r="M133" s="9"/>
      <c r="N133" s="9"/>
    </row>
    <row r="134" customFormat="false" ht="15" hidden="false" customHeight="true" outlineLevel="0" collapsed="false">
      <c r="A134" s="8"/>
      <c r="B134" s="13"/>
      <c r="C134" s="13"/>
      <c r="D134" s="9"/>
      <c r="E134" s="9"/>
      <c r="F134" s="9"/>
      <c r="G134" s="9"/>
      <c r="H134" s="9"/>
      <c r="I134" s="14" t="str">
        <f aca="false">IF(OR(G134="",H134=""),"",1-H134/G134)</f>
        <v/>
      </c>
      <c r="J134" s="10" t="str">
        <f aca="false">IF(OR(B134="",C134=""),"",ROUND(MOD(C134-B134,1)*1440,0))</f>
        <v/>
      </c>
      <c r="K134" s="9"/>
      <c r="L134" s="9"/>
      <c r="M134" s="9"/>
      <c r="N134" s="9"/>
    </row>
    <row r="135" customFormat="false" ht="15" hidden="false" customHeight="true" outlineLevel="0" collapsed="false">
      <c r="A135" s="8"/>
      <c r="B135" s="13"/>
      <c r="C135" s="13"/>
      <c r="D135" s="9"/>
      <c r="E135" s="9"/>
      <c r="F135" s="9"/>
      <c r="G135" s="9"/>
      <c r="H135" s="9"/>
      <c r="I135" s="14" t="str">
        <f aca="false">IF(OR(G135="",H135=""),"",1-H135/G135)</f>
        <v/>
      </c>
      <c r="J135" s="10" t="str">
        <f aca="false">IF(OR(B135="",C135=""),"",ROUND(MOD(C135-B135,1)*1440,0))</f>
        <v/>
      </c>
      <c r="K135" s="9"/>
      <c r="L135" s="9"/>
      <c r="M135" s="9"/>
      <c r="N135" s="9"/>
    </row>
    <row r="136" customFormat="false" ht="15" hidden="false" customHeight="true" outlineLevel="0" collapsed="false">
      <c r="A136" s="8"/>
      <c r="B136" s="13"/>
      <c r="C136" s="13"/>
      <c r="D136" s="9"/>
      <c r="E136" s="9"/>
      <c r="F136" s="9"/>
      <c r="G136" s="9"/>
      <c r="H136" s="9"/>
      <c r="I136" s="14" t="str">
        <f aca="false">IF(OR(G136="",H136=""),"",1-H136/G136)</f>
        <v/>
      </c>
      <c r="J136" s="10" t="str">
        <f aca="false">IF(OR(B136="",C136=""),"",ROUND(MOD(C136-B136,1)*1440,0))</f>
        <v/>
      </c>
      <c r="K136" s="9"/>
      <c r="L136" s="9"/>
      <c r="M136" s="9"/>
      <c r="N136" s="9"/>
    </row>
    <row r="137" customFormat="false" ht="15" hidden="false" customHeight="true" outlineLevel="0" collapsed="false">
      <c r="A137" s="8"/>
      <c r="B137" s="13"/>
      <c r="C137" s="13"/>
      <c r="D137" s="9"/>
      <c r="E137" s="9"/>
      <c r="F137" s="9"/>
      <c r="G137" s="9"/>
      <c r="H137" s="9"/>
      <c r="I137" s="14" t="str">
        <f aca="false">IF(OR(G137="",H137=""),"",1-H137/G137)</f>
        <v/>
      </c>
      <c r="J137" s="10" t="str">
        <f aca="false">IF(OR(B137="",C137=""),"",ROUND(MOD(C137-B137,1)*1440,0))</f>
        <v/>
      </c>
      <c r="K137" s="9"/>
      <c r="L137" s="9"/>
      <c r="M137" s="9"/>
      <c r="N137" s="9"/>
    </row>
    <row r="138" customFormat="false" ht="15" hidden="false" customHeight="true" outlineLevel="0" collapsed="false">
      <c r="A138" s="8"/>
      <c r="B138" s="13"/>
      <c r="C138" s="13"/>
      <c r="D138" s="9"/>
      <c r="E138" s="9"/>
      <c r="F138" s="9"/>
      <c r="G138" s="9"/>
      <c r="H138" s="9"/>
      <c r="I138" s="14" t="str">
        <f aca="false">IF(OR(G138="",H138=""),"",1-H138/G138)</f>
        <v/>
      </c>
      <c r="J138" s="10" t="str">
        <f aca="false">IF(OR(B138="",C138=""),"",ROUND(MOD(C138-B138,1)*1440,0))</f>
        <v/>
      </c>
      <c r="K138" s="9"/>
      <c r="L138" s="9"/>
      <c r="M138" s="9"/>
      <c r="N138" s="9"/>
    </row>
    <row r="139" customFormat="false" ht="15" hidden="false" customHeight="true" outlineLevel="0" collapsed="false">
      <c r="A139" s="8"/>
      <c r="B139" s="13"/>
      <c r="C139" s="13"/>
      <c r="D139" s="9"/>
      <c r="E139" s="9"/>
      <c r="F139" s="9"/>
      <c r="G139" s="9"/>
      <c r="H139" s="9"/>
      <c r="I139" s="14" t="str">
        <f aca="false">IF(OR(G139="",H139=""),"",1-H139/G139)</f>
        <v/>
      </c>
      <c r="J139" s="10" t="str">
        <f aca="false">IF(OR(B139="",C139=""),"",ROUND(MOD(C139-B139,1)*1440,0))</f>
        <v/>
      </c>
      <c r="K139" s="9"/>
      <c r="L139" s="9"/>
      <c r="M139" s="9"/>
      <c r="N139" s="9"/>
    </row>
    <row r="140" customFormat="false" ht="15" hidden="false" customHeight="true" outlineLevel="0" collapsed="false">
      <c r="A140" s="8"/>
      <c r="B140" s="13"/>
      <c r="C140" s="13"/>
      <c r="D140" s="9"/>
      <c r="E140" s="9"/>
      <c r="F140" s="9"/>
      <c r="G140" s="9"/>
      <c r="H140" s="9"/>
      <c r="I140" s="14" t="str">
        <f aca="false">IF(OR(G140="",H140=""),"",1-H140/G140)</f>
        <v/>
      </c>
      <c r="J140" s="10" t="str">
        <f aca="false">IF(OR(B140="",C140=""),"",ROUND(MOD(C140-B140,1)*1440,0))</f>
        <v/>
      </c>
      <c r="K140" s="9"/>
      <c r="L140" s="9"/>
      <c r="M140" s="9"/>
      <c r="N140" s="9"/>
    </row>
    <row r="141" customFormat="false" ht="15" hidden="false" customHeight="true" outlineLevel="0" collapsed="false">
      <c r="A141" s="8"/>
      <c r="B141" s="13"/>
      <c r="C141" s="13"/>
      <c r="D141" s="9"/>
      <c r="E141" s="9"/>
      <c r="F141" s="9"/>
      <c r="G141" s="9"/>
      <c r="H141" s="9"/>
      <c r="I141" s="14" t="str">
        <f aca="false">IF(OR(G141="",H141=""),"",1-H141/G141)</f>
        <v/>
      </c>
      <c r="J141" s="10" t="str">
        <f aca="false">IF(OR(B141="",C141=""),"",ROUND(MOD(C141-B141,1)*1440,0))</f>
        <v/>
      </c>
      <c r="K141" s="9"/>
      <c r="L141" s="9"/>
      <c r="M141" s="9"/>
      <c r="N141" s="9"/>
    </row>
    <row r="142" customFormat="false" ht="15" hidden="false" customHeight="true" outlineLevel="0" collapsed="false">
      <c r="A142" s="8"/>
      <c r="B142" s="13"/>
      <c r="C142" s="13"/>
      <c r="D142" s="9"/>
      <c r="E142" s="9"/>
      <c r="F142" s="9"/>
      <c r="G142" s="9"/>
      <c r="H142" s="9"/>
      <c r="I142" s="14" t="str">
        <f aca="false">IF(OR(G142="",H142=""),"",1-H142/G142)</f>
        <v/>
      </c>
      <c r="J142" s="10" t="str">
        <f aca="false">IF(OR(B142="",C142=""),"",ROUND(MOD(C142-B142,1)*1440,0))</f>
        <v/>
      </c>
      <c r="K142" s="9"/>
      <c r="L142" s="9"/>
      <c r="M142" s="9"/>
      <c r="N142" s="9"/>
    </row>
    <row r="143" customFormat="false" ht="15" hidden="false" customHeight="true" outlineLevel="0" collapsed="false">
      <c r="A143" s="8"/>
      <c r="B143" s="13"/>
      <c r="C143" s="13"/>
      <c r="D143" s="9"/>
      <c r="E143" s="9"/>
      <c r="F143" s="9"/>
      <c r="G143" s="9"/>
      <c r="H143" s="9"/>
      <c r="I143" s="14" t="str">
        <f aca="false">IF(OR(G143="",H143=""),"",1-H143/G143)</f>
        <v/>
      </c>
      <c r="J143" s="10" t="str">
        <f aca="false">IF(OR(B143="",C143=""),"",ROUND(MOD(C143-B143,1)*1440,0))</f>
        <v/>
      </c>
      <c r="K143" s="9"/>
      <c r="L143" s="9"/>
      <c r="M143" s="9"/>
      <c r="N143" s="9"/>
    </row>
    <row r="144" customFormat="false" ht="15" hidden="false" customHeight="true" outlineLevel="0" collapsed="false">
      <c r="A144" s="8"/>
      <c r="B144" s="13"/>
      <c r="C144" s="13"/>
      <c r="D144" s="9"/>
      <c r="E144" s="9"/>
      <c r="F144" s="9"/>
      <c r="G144" s="9"/>
      <c r="H144" s="9"/>
      <c r="I144" s="14" t="str">
        <f aca="false">IF(OR(G144="",H144=""),"",1-H144/G144)</f>
        <v/>
      </c>
      <c r="J144" s="10" t="str">
        <f aca="false">IF(OR(B144="",C144=""),"",ROUND(MOD(C144-B144,1)*1440,0))</f>
        <v/>
      </c>
      <c r="K144" s="9"/>
      <c r="L144" s="9"/>
      <c r="M144" s="9"/>
      <c r="N144" s="9"/>
    </row>
    <row r="145" customFormat="false" ht="15" hidden="false" customHeight="true" outlineLevel="0" collapsed="false">
      <c r="A145" s="8"/>
      <c r="B145" s="13"/>
      <c r="C145" s="13"/>
      <c r="D145" s="9"/>
      <c r="E145" s="9"/>
      <c r="F145" s="9"/>
      <c r="G145" s="9"/>
      <c r="H145" s="9"/>
      <c r="I145" s="14" t="str">
        <f aca="false">IF(OR(G145="",H145=""),"",1-H145/G145)</f>
        <v/>
      </c>
      <c r="J145" s="10" t="str">
        <f aca="false">IF(OR(B145="",C145=""),"",ROUND(MOD(C145-B145,1)*1440,0))</f>
        <v/>
      </c>
      <c r="K145" s="9"/>
      <c r="L145" s="9"/>
      <c r="M145" s="9"/>
      <c r="N145" s="9"/>
    </row>
    <row r="146" customFormat="false" ht="15" hidden="false" customHeight="true" outlineLevel="0" collapsed="false">
      <c r="A146" s="8"/>
      <c r="B146" s="13"/>
      <c r="C146" s="13"/>
      <c r="D146" s="9"/>
      <c r="E146" s="9"/>
      <c r="F146" s="9"/>
      <c r="G146" s="9"/>
      <c r="H146" s="9"/>
      <c r="I146" s="14" t="str">
        <f aca="false">IF(OR(G146="",H146=""),"",1-H146/G146)</f>
        <v/>
      </c>
      <c r="J146" s="10" t="str">
        <f aca="false">IF(OR(B146="",C146=""),"",ROUND(MOD(C146-B146,1)*1440,0))</f>
        <v/>
      </c>
      <c r="K146" s="9"/>
      <c r="L146" s="9"/>
      <c r="M146" s="9"/>
      <c r="N146" s="9"/>
    </row>
    <row r="147" customFormat="false" ht="15" hidden="false" customHeight="true" outlineLevel="0" collapsed="false">
      <c r="A147" s="8"/>
      <c r="B147" s="13"/>
      <c r="C147" s="13"/>
      <c r="D147" s="9"/>
      <c r="E147" s="9"/>
      <c r="F147" s="9"/>
      <c r="G147" s="9"/>
      <c r="H147" s="9"/>
      <c r="I147" s="14" t="str">
        <f aca="false">IF(OR(G147="",H147=""),"",1-H147/G147)</f>
        <v/>
      </c>
      <c r="J147" s="10" t="str">
        <f aca="false">IF(OR(B147="",C147=""),"",ROUND(MOD(C147-B147,1)*1440,0))</f>
        <v/>
      </c>
      <c r="K147" s="9"/>
      <c r="L147" s="9"/>
      <c r="M147" s="9"/>
      <c r="N147" s="9"/>
    </row>
    <row r="148" customFormat="false" ht="15" hidden="false" customHeight="true" outlineLevel="0" collapsed="false">
      <c r="A148" s="8"/>
      <c r="B148" s="13"/>
      <c r="C148" s="13"/>
      <c r="D148" s="9"/>
      <c r="E148" s="9"/>
      <c r="F148" s="9"/>
      <c r="G148" s="9"/>
      <c r="H148" s="9"/>
      <c r="I148" s="14" t="str">
        <f aca="false">IF(OR(G148="",H148=""),"",1-H148/G148)</f>
        <v/>
      </c>
      <c r="J148" s="10" t="str">
        <f aca="false">IF(OR(B148="",C148=""),"",ROUND(MOD(C148-B148,1)*1440,0))</f>
        <v/>
      </c>
      <c r="K148" s="9"/>
      <c r="L148" s="9"/>
      <c r="M148" s="9"/>
      <c r="N148" s="9"/>
    </row>
    <row r="149" customFormat="false" ht="15" hidden="false" customHeight="true" outlineLevel="0" collapsed="false">
      <c r="A149" s="8"/>
      <c r="B149" s="13"/>
      <c r="C149" s="13"/>
      <c r="D149" s="9"/>
      <c r="E149" s="9"/>
      <c r="F149" s="9"/>
      <c r="G149" s="9"/>
      <c r="H149" s="9"/>
      <c r="I149" s="14" t="str">
        <f aca="false">IF(OR(G149="",H149=""),"",1-H149/G149)</f>
        <v/>
      </c>
      <c r="J149" s="10" t="str">
        <f aca="false">IF(OR(B149="",C149=""),"",ROUND(MOD(C149-B149,1)*1440,0))</f>
        <v/>
      </c>
      <c r="K149" s="9"/>
      <c r="L149" s="9"/>
      <c r="M149" s="9"/>
      <c r="N149" s="9"/>
    </row>
    <row r="150" customFormat="false" ht="15" hidden="false" customHeight="true" outlineLevel="0" collapsed="false">
      <c r="A150" s="8"/>
      <c r="B150" s="13"/>
      <c r="C150" s="13"/>
      <c r="D150" s="9"/>
      <c r="E150" s="9"/>
      <c r="F150" s="9"/>
      <c r="G150" s="9"/>
      <c r="H150" s="9"/>
      <c r="I150" s="14" t="str">
        <f aca="false">IF(OR(G150="",H150=""),"",1-H150/G150)</f>
        <v/>
      </c>
      <c r="J150" s="10" t="str">
        <f aca="false">IF(OR(B150="",C150=""),"",ROUND(MOD(C150-B150,1)*1440,0))</f>
        <v/>
      </c>
      <c r="K150" s="9"/>
      <c r="L150" s="9"/>
      <c r="M150" s="9"/>
      <c r="N150" s="9"/>
    </row>
    <row r="151" customFormat="false" ht="15" hidden="false" customHeight="true" outlineLevel="0" collapsed="false">
      <c r="A151" s="8"/>
      <c r="B151" s="13"/>
      <c r="C151" s="13"/>
      <c r="D151" s="9"/>
      <c r="E151" s="9"/>
      <c r="F151" s="9"/>
      <c r="G151" s="9"/>
      <c r="H151" s="9"/>
      <c r="I151" s="14" t="str">
        <f aca="false">IF(OR(G151="",H151=""),"",1-H151/G151)</f>
        <v/>
      </c>
      <c r="J151" s="10" t="str">
        <f aca="false">IF(OR(B151="",C151=""),"",ROUND(MOD(C151-B151,1)*1440,0))</f>
        <v/>
      </c>
      <c r="K151" s="9"/>
      <c r="L151" s="9"/>
      <c r="M151" s="9"/>
      <c r="N151" s="9"/>
    </row>
    <row r="152" customFormat="false" ht="15" hidden="false" customHeight="true" outlineLevel="0" collapsed="false">
      <c r="A152" s="8"/>
      <c r="B152" s="13"/>
      <c r="C152" s="13"/>
      <c r="D152" s="9"/>
      <c r="E152" s="9"/>
      <c r="F152" s="9"/>
      <c r="G152" s="9"/>
      <c r="H152" s="9"/>
      <c r="I152" s="14" t="str">
        <f aca="false">IF(OR(G152="",H152=""),"",1-H152/G152)</f>
        <v/>
      </c>
      <c r="J152" s="10" t="str">
        <f aca="false">IF(OR(B152="",C152=""),"",ROUND(MOD(C152-B152,1)*1440,0))</f>
        <v/>
      </c>
      <c r="K152" s="9"/>
      <c r="L152" s="9"/>
      <c r="M152" s="9"/>
      <c r="N152" s="9"/>
    </row>
    <row r="153" customFormat="false" ht="15" hidden="false" customHeight="true" outlineLevel="0" collapsed="false">
      <c r="A153" s="8"/>
      <c r="B153" s="13"/>
      <c r="C153" s="13"/>
      <c r="D153" s="9"/>
      <c r="E153" s="9"/>
      <c r="F153" s="9"/>
      <c r="G153" s="9"/>
      <c r="H153" s="9"/>
      <c r="I153" s="14" t="str">
        <f aca="false">IF(OR(G153="",H153=""),"",1-H153/G153)</f>
        <v/>
      </c>
      <c r="J153" s="10" t="str">
        <f aca="false">IF(OR(B153="",C153=""),"",ROUND(MOD(C153-B153,1)*1440,0))</f>
        <v/>
      </c>
      <c r="K153" s="9"/>
      <c r="L153" s="9"/>
      <c r="M153" s="9"/>
      <c r="N153" s="9"/>
    </row>
    <row r="154" customFormat="false" ht="15" hidden="false" customHeight="true" outlineLevel="0" collapsed="false">
      <c r="A154" s="8"/>
      <c r="B154" s="13"/>
      <c r="C154" s="13"/>
      <c r="D154" s="9"/>
      <c r="E154" s="9"/>
      <c r="F154" s="9"/>
      <c r="G154" s="9"/>
      <c r="H154" s="9"/>
      <c r="I154" s="14" t="str">
        <f aca="false">IF(OR(G154="",H154=""),"",1-H154/G154)</f>
        <v/>
      </c>
      <c r="J154" s="10" t="str">
        <f aca="false">IF(OR(B154="",C154=""),"",ROUND(MOD(C154-B154,1)*1440,0))</f>
        <v/>
      </c>
      <c r="K154" s="9"/>
      <c r="L154" s="9"/>
      <c r="M154" s="9"/>
      <c r="N154" s="9"/>
    </row>
    <row r="155" customFormat="false" ht="15" hidden="false" customHeight="true" outlineLevel="0" collapsed="false">
      <c r="A155" s="8"/>
      <c r="B155" s="13"/>
      <c r="C155" s="13"/>
      <c r="D155" s="9"/>
      <c r="E155" s="9"/>
      <c r="F155" s="9"/>
      <c r="G155" s="9"/>
      <c r="H155" s="9"/>
      <c r="I155" s="14" t="str">
        <f aca="false">IF(OR(G155="",H155=""),"",1-H155/G155)</f>
        <v/>
      </c>
      <c r="J155" s="10" t="str">
        <f aca="false">IF(OR(B155="",C155=""),"",ROUND(MOD(C155-B155,1)*1440,0))</f>
        <v/>
      </c>
      <c r="K155" s="9"/>
      <c r="L155" s="9"/>
      <c r="M155" s="9"/>
      <c r="N155" s="9"/>
    </row>
    <row r="156" customFormat="false" ht="15" hidden="false" customHeight="true" outlineLevel="0" collapsed="false">
      <c r="A156" s="8"/>
      <c r="B156" s="13"/>
      <c r="C156" s="13"/>
      <c r="D156" s="9"/>
      <c r="E156" s="9"/>
      <c r="F156" s="9"/>
      <c r="G156" s="9"/>
      <c r="H156" s="9"/>
      <c r="I156" s="14" t="str">
        <f aca="false">IF(OR(G156="",H156=""),"",1-H156/G156)</f>
        <v/>
      </c>
      <c r="J156" s="10" t="str">
        <f aca="false">IF(OR(B156="",C156=""),"",ROUND(MOD(C156-B156,1)*1440,0))</f>
        <v/>
      </c>
      <c r="K156" s="9"/>
      <c r="L156" s="9"/>
      <c r="M156" s="9"/>
      <c r="N156" s="9"/>
    </row>
    <row r="157" customFormat="false" ht="15" hidden="false" customHeight="true" outlineLevel="0" collapsed="false">
      <c r="A157" s="8"/>
      <c r="B157" s="13"/>
      <c r="C157" s="13"/>
      <c r="D157" s="9"/>
      <c r="E157" s="9"/>
      <c r="F157" s="9"/>
      <c r="G157" s="9"/>
      <c r="H157" s="9"/>
      <c r="I157" s="14" t="str">
        <f aca="false">IF(OR(G157="",H157=""),"",1-H157/G157)</f>
        <v/>
      </c>
      <c r="J157" s="10" t="str">
        <f aca="false">IF(OR(B157="",C157=""),"",ROUND(MOD(C157-B157,1)*1440,0))</f>
        <v/>
      </c>
      <c r="K157" s="9"/>
      <c r="L157" s="9"/>
      <c r="M157" s="9"/>
      <c r="N157" s="9"/>
    </row>
    <row r="158" customFormat="false" ht="15" hidden="false" customHeight="true" outlineLevel="0" collapsed="false">
      <c r="A158" s="8"/>
      <c r="B158" s="13"/>
      <c r="C158" s="13"/>
      <c r="D158" s="9"/>
      <c r="E158" s="9"/>
      <c r="F158" s="9"/>
      <c r="G158" s="9"/>
      <c r="H158" s="9"/>
      <c r="I158" s="14" t="str">
        <f aca="false">IF(OR(G158="",H158=""),"",1-H158/G158)</f>
        <v/>
      </c>
      <c r="J158" s="10" t="str">
        <f aca="false">IF(OR(B158="",C158=""),"",ROUND(MOD(C158-B158,1)*1440,0))</f>
        <v/>
      </c>
      <c r="K158" s="9"/>
      <c r="L158" s="9"/>
      <c r="M158" s="9"/>
      <c r="N158" s="9"/>
    </row>
    <row r="159" customFormat="false" ht="15" hidden="false" customHeight="true" outlineLevel="0" collapsed="false">
      <c r="A159" s="8"/>
      <c r="B159" s="13"/>
      <c r="C159" s="13"/>
      <c r="D159" s="9"/>
      <c r="E159" s="9"/>
      <c r="F159" s="9"/>
      <c r="G159" s="9"/>
      <c r="H159" s="9"/>
      <c r="I159" s="14" t="str">
        <f aca="false">IF(OR(G159="",H159=""),"",1-H159/G159)</f>
        <v/>
      </c>
      <c r="J159" s="10" t="str">
        <f aca="false">IF(OR(B159="",C159=""),"",ROUND(MOD(C159-B159,1)*1440,0))</f>
        <v/>
      </c>
      <c r="K159" s="9"/>
      <c r="L159" s="9"/>
      <c r="M159" s="9"/>
      <c r="N159" s="9"/>
    </row>
    <row r="160" customFormat="false" ht="15" hidden="false" customHeight="true" outlineLevel="0" collapsed="false">
      <c r="A160" s="8"/>
      <c r="B160" s="13"/>
      <c r="C160" s="13"/>
      <c r="D160" s="9"/>
      <c r="E160" s="9"/>
      <c r="F160" s="9"/>
      <c r="G160" s="9"/>
      <c r="H160" s="9"/>
      <c r="I160" s="14" t="str">
        <f aca="false">IF(OR(G160="",H160=""),"",1-H160/G160)</f>
        <v/>
      </c>
      <c r="J160" s="10" t="str">
        <f aca="false">IF(OR(B160="",C160=""),"",ROUND(MOD(C160-B160,1)*1440,0))</f>
        <v/>
      </c>
      <c r="K160" s="9"/>
      <c r="L160" s="9"/>
      <c r="M160" s="9"/>
      <c r="N160" s="9"/>
    </row>
    <row r="161" customFormat="false" ht="15" hidden="false" customHeight="true" outlineLevel="0" collapsed="false">
      <c r="A161" s="8"/>
      <c r="B161" s="13"/>
      <c r="C161" s="13"/>
      <c r="D161" s="9"/>
      <c r="E161" s="9"/>
      <c r="F161" s="9"/>
      <c r="G161" s="9"/>
      <c r="H161" s="9"/>
      <c r="I161" s="14" t="str">
        <f aca="false">IF(OR(G161="",H161=""),"",1-H161/G161)</f>
        <v/>
      </c>
      <c r="J161" s="10" t="str">
        <f aca="false">IF(OR(B161="",C161=""),"",ROUND(MOD(C161-B161,1)*1440,0))</f>
        <v/>
      </c>
      <c r="K161" s="9"/>
      <c r="L161" s="9"/>
      <c r="M161" s="9"/>
      <c r="N161" s="9"/>
    </row>
    <row r="162" customFormat="false" ht="15" hidden="false" customHeight="true" outlineLevel="0" collapsed="false">
      <c r="A162" s="8"/>
      <c r="B162" s="13"/>
      <c r="C162" s="13"/>
      <c r="D162" s="9"/>
      <c r="E162" s="9"/>
      <c r="F162" s="9"/>
      <c r="G162" s="9"/>
      <c r="H162" s="9"/>
      <c r="I162" s="14" t="str">
        <f aca="false">IF(OR(G162="",H162=""),"",1-H162/G162)</f>
        <v/>
      </c>
      <c r="J162" s="10" t="str">
        <f aca="false">IF(OR(B162="",C162=""),"",ROUND(MOD(C162-B162,1)*1440,0))</f>
        <v/>
      </c>
      <c r="K162" s="9"/>
      <c r="L162" s="9"/>
      <c r="M162" s="9"/>
      <c r="N162" s="9"/>
    </row>
    <row r="163" customFormat="false" ht="15" hidden="false" customHeight="true" outlineLevel="0" collapsed="false">
      <c r="A163" s="8"/>
      <c r="B163" s="13"/>
      <c r="C163" s="13"/>
      <c r="D163" s="9"/>
      <c r="E163" s="9"/>
      <c r="F163" s="9"/>
      <c r="G163" s="9"/>
      <c r="H163" s="9"/>
      <c r="I163" s="14" t="str">
        <f aca="false">IF(OR(G163="",H163=""),"",1-H163/G163)</f>
        <v/>
      </c>
      <c r="J163" s="10" t="str">
        <f aca="false">IF(OR(B163="",C163=""),"",ROUND(MOD(C163-B163,1)*1440,0))</f>
        <v/>
      </c>
      <c r="K163" s="9"/>
      <c r="L163" s="9"/>
      <c r="M163" s="9"/>
      <c r="N163" s="9"/>
    </row>
    <row r="164" customFormat="false" ht="15" hidden="false" customHeight="true" outlineLevel="0" collapsed="false">
      <c r="A164" s="8"/>
      <c r="B164" s="13"/>
      <c r="C164" s="13"/>
      <c r="D164" s="9"/>
      <c r="E164" s="9"/>
      <c r="F164" s="9"/>
      <c r="G164" s="9"/>
      <c r="H164" s="9"/>
      <c r="I164" s="14" t="str">
        <f aca="false">IF(OR(G164="",H164=""),"",1-H164/G164)</f>
        <v/>
      </c>
      <c r="J164" s="10" t="str">
        <f aca="false">IF(OR(B164="",C164=""),"",ROUND(MOD(C164-B164,1)*1440,0))</f>
        <v/>
      </c>
      <c r="K164" s="9"/>
      <c r="L164" s="9"/>
      <c r="M164" s="9"/>
      <c r="N164" s="9"/>
    </row>
    <row r="165" customFormat="false" ht="15" hidden="false" customHeight="true" outlineLevel="0" collapsed="false">
      <c r="A165" s="8"/>
      <c r="B165" s="13"/>
      <c r="C165" s="13"/>
      <c r="D165" s="9"/>
      <c r="E165" s="9"/>
      <c r="F165" s="9"/>
      <c r="G165" s="9"/>
      <c r="H165" s="9"/>
      <c r="I165" s="14" t="str">
        <f aca="false">IF(OR(G165="",H165=""),"",1-H165/G165)</f>
        <v/>
      </c>
      <c r="J165" s="10" t="str">
        <f aca="false">IF(OR(B165="",C165=""),"",ROUND(MOD(C165-B165,1)*1440,0))</f>
        <v/>
      </c>
      <c r="K165" s="9"/>
      <c r="L165" s="9"/>
      <c r="M165" s="9"/>
      <c r="N165" s="9"/>
    </row>
    <row r="166" customFormat="false" ht="15" hidden="false" customHeight="true" outlineLevel="0" collapsed="false">
      <c r="A166" s="8"/>
      <c r="B166" s="13"/>
      <c r="C166" s="13"/>
      <c r="D166" s="9"/>
      <c r="E166" s="9"/>
      <c r="F166" s="9"/>
      <c r="G166" s="9"/>
      <c r="H166" s="9"/>
      <c r="I166" s="14" t="str">
        <f aca="false">IF(OR(G166="",H166=""),"",1-H166/G166)</f>
        <v/>
      </c>
      <c r="J166" s="10" t="str">
        <f aca="false">IF(OR(B166="",C166=""),"",ROUND(MOD(C166-B166,1)*1440,0))</f>
        <v/>
      </c>
      <c r="K166" s="9"/>
      <c r="L166" s="9"/>
      <c r="M166" s="9"/>
      <c r="N166" s="9"/>
    </row>
    <row r="167" customFormat="false" ht="15" hidden="false" customHeight="true" outlineLevel="0" collapsed="false">
      <c r="A167" s="8"/>
      <c r="B167" s="13"/>
      <c r="C167" s="13"/>
      <c r="D167" s="9"/>
      <c r="E167" s="9"/>
      <c r="F167" s="9"/>
      <c r="G167" s="9"/>
      <c r="H167" s="9"/>
      <c r="I167" s="14" t="str">
        <f aca="false">IF(OR(G167="",H167=""),"",1-H167/G167)</f>
        <v/>
      </c>
      <c r="J167" s="10" t="str">
        <f aca="false">IF(OR(B167="",C167=""),"",ROUND(MOD(C167-B167,1)*1440,0))</f>
        <v/>
      </c>
      <c r="K167" s="9"/>
      <c r="L167" s="9"/>
      <c r="M167" s="9"/>
      <c r="N167" s="9"/>
    </row>
    <row r="168" customFormat="false" ht="15" hidden="false" customHeight="true" outlineLevel="0" collapsed="false">
      <c r="A168" s="8"/>
      <c r="B168" s="13"/>
      <c r="C168" s="13"/>
      <c r="D168" s="9"/>
      <c r="E168" s="9"/>
      <c r="F168" s="9"/>
      <c r="G168" s="9"/>
      <c r="H168" s="9"/>
      <c r="I168" s="14" t="str">
        <f aca="false">IF(OR(G168="",H168=""),"",1-H168/G168)</f>
        <v/>
      </c>
      <c r="J168" s="10" t="str">
        <f aca="false">IF(OR(B168="",C168=""),"",ROUND(MOD(C168-B168,1)*1440,0))</f>
        <v/>
      </c>
      <c r="K168" s="9"/>
      <c r="L168" s="9"/>
      <c r="M168" s="9"/>
      <c r="N168" s="9"/>
    </row>
    <row r="169" customFormat="false" ht="15" hidden="false" customHeight="true" outlineLevel="0" collapsed="false">
      <c r="A169" s="8"/>
      <c r="B169" s="13"/>
      <c r="C169" s="13"/>
      <c r="D169" s="9"/>
      <c r="E169" s="9"/>
      <c r="F169" s="9"/>
      <c r="G169" s="9"/>
      <c r="H169" s="9"/>
      <c r="I169" s="14" t="str">
        <f aca="false">IF(OR(G169="",H169=""),"",1-H169/G169)</f>
        <v/>
      </c>
      <c r="J169" s="10" t="str">
        <f aca="false">IF(OR(B169="",C169=""),"",ROUND(MOD(C169-B169,1)*1440,0))</f>
        <v/>
      </c>
      <c r="K169" s="9"/>
      <c r="L169" s="9"/>
      <c r="M169" s="9"/>
      <c r="N169" s="9"/>
    </row>
    <row r="170" customFormat="false" ht="15" hidden="false" customHeight="true" outlineLevel="0" collapsed="false">
      <c r="A170" s="8"/>
      <c r="B170" s="13"/>
      <c r="C170" s="13"/>
      <c r="D170" s="9"/>
      <c r="E170" s="9"/>
      <c r="F170" s="9"/>
      <c r="G170" s="9"/>
      <c r="H170" s="9"/>
      <c r="I170" s="14" t="str">
        <f aca="false">IF(OR(G170="",H170=""),"",1-H170/G170)</f>
        <v/>
      </c>
      <c r="J170" s="10" t="str">
        <f aca="false">IF(OR(B170="",C170=""),"",ROUND(MOD(C170-B170,1)*1440,0))</f>
        <v/>
      </c>
      <c r="K170" s="9"/>
      <c r="L170" s="9"/>
      <c r="M170" s="9"/>
      <c r="N170" s="9"/>
    </row>
    <row r="171" customFormat="false" ht="15" hidden="false" customHeight="true" outlineLevel="0" collapsed="false">
      <c r="A171" s="8"/>
      <c r="B171" s="13"/>
      <c r="C171" s="13"/>
      <c r="D171" s="9"/>
      <c r="E171" s="9"/>
      <c r="F171" s="9"/>
      <c r="G171" s="9"/>
      <c r="H171" s="9"/>
      <c r="I171" s="14" t="str">
        <f aca="false">IF(OR(G171="",H171=""),"",1-H171/G171)</f>
        <v/>
      </c>
      <c r="J171" s="10" t="str">
        <f aca="false">IF(OR(B171="",C171=""),"",ROUND(MOD(C171-B171,1)*1440,0))</f>
        <v/>
      </c>
      <c r="K171" s="9"/>
      <c r="L171" s="9"/>
      <c r="M171" s="9"/>
      <c r="N171" s="9"/>
    </row>
    <row r="172" customFormat="false" ht="15" hidden="false" customHeight="true" outlineLevel="0" collapsed="false">
      <c r="A172" s="8"/>
      <c r="B172" s="13"/>
      <c r="C172" s="13"/>
      <c r="D172" s="9"/>
      <c r="E172" s="9"/>
      <c r="F172" s="9"/>
      <c r="G172" s="9"/>
      <c r="H172" s="9"/>
      <c r="I172" s="14" t="str">
        <f aca="false">IF(OR(G172="",H172=""),"",1-H172/G172)</f>
        <v/>
      </c>
      <c r="J172" s="10" t="str">
        <f aca="false">IF(OR(B172="",C172=""),"",ROUND(MOD(C172-B172,1)*1440,0))</f>
        <v/>
      </c>
      <c r="K172" s="9"/>
      <c r="L172" s="9"/>
      <c r="M172" s="9"/>
      <c r="N172" s="9"/>
    </row>
    <row r="173" customFormat="false" ht="15" hidden="false" customHeight="true" outlineLevel="0" collapsed="false">
      <c r="A173" s="8"/>
      <c r="B173" s="13"/>
      <c r="C173" s="13"/>
      <c r="D173" s="9"/>
      <c r="E173" s="9"/>
      <c r="F173" s="9"/>
      <c r="G173" s="9"/>
      <c r="H173" s="9"/>
      <c r="I173" s="14" t="str">
        <f aca="false">IF(OR(G173="",H173=""),"",1-H173/G173)</f>
        <v/>
      </c>
      <c r="J173" s="10" t="str">
        <f aca="false">IF(OR(B173="",C173=""),"",ROUND(MOD(C173-B173,1)*1440,0))</f>
        <v/>
      </c>
      <c r="K173" s="9"/>
      <c r="L173" s="9"/>
      <c r="M173" s="9"/>
      <c r="N173" s="9"/>
    </row>
    <row r="174" customFormat="false" ht="15" hidden="false" customHeight="true" outlineLevel="0" collapsed="false">
      <c r="A174" s="8"/>
      <c r="B174" s="13"/>
      <c r="C174" s="13"/>
      <c r="D174" s="9"/>
      <c r="E174" s="9"/>
      <c r="F174" s="9"/>
      <c r="G174" s="9"/>
      <c r="H174" s="9"/>
      <c r="I174" s="14" t="str">
        <f aca="false">IF(OR(G174="",H174=""),"",1-H174/G174)</f>
        <v/>
      </c>
      <c r="J174" s="10" t="str">
        <f aca="false">IF(OR(B174="",C174=""),"",ROUND(MOD(C174-B174,1)*1440,0))</f>
        <v/>
      </c>
      <c r="K174" s="9"/>
      <c r="L174" s="9"/>
      <c r="M174" s="9"/>
      <c r="N174" s="9"/>
    </row>
    <row r="175" customFormat="false" ht="15" hidden="false" customHeight="true" outlineLevel="0" collapsed="false">
      <c r="A175" s="8"/>
      <c r="B175" s="13"/>
      <c r="C175" s="13"/>
      <c r="D175" s="9"/>
      <c r="E175" s="9"/>
      <c r="F175" s="9"/>
      <c r="G175" s="9"/>
      <c r="H175" s="9"/>
      <c r="I175" s="14" t="str">
        <f aca="false">IF(OR(G175="",H175=""),"",1-H175/G175)</f>
        <v/>
      </c>
      <c r="J175" s="10" t="str">
        <f aca="false">IF(OR(B175="",C175=""),"",ROUND(MOD(C175-B175,1)*1440,0))</f>
        <v/>
      </c>
      <c r="K175" s="9"/>
      <c r="L175" s="9"/>
      <c r="M175" s="9"/>
      <c r="N175" s="9"/>
    </row>
    <row r="176" customFormat="false" ht="15" hidden="false" customHeight="true" outlineLevel="0" collapsed="false">
      <c r="A176" s="8"/>
      <c r="B176" s="13"/>
      <c r="C176" s="13"/>
      <c r="D176" s="9"/>
      <c r="E176" s="9"/>
      <c r="F176" s="9"/>
      <c r="G176" s="9"/>
      <c r="H176" s="9"/>
      <c r="I176" s="14" t="str">
        <f aca="false">IF(OR(G176="",H176=""),"",1-H176/G176)</f>
        <v/>
      </c>
      <c r="J176" s="10" t="str">
        <f aca="false">IF(OR(B176="",C176=""),"",ROUND(MOD(C176-B176,1)*1440,0))</f>
        <v/>
      </c>
      <c r="K176" s="9"/>
      <c r="L176" s="9"/>
      <c r="M176" s="9"/>
      <c r="N176" s="9"/>
    </row>
    <row r="177" customFormat="false" ht="15" hidden="false" customHeight="true" outlineLevel="0" collapsed="false">
      <c r="A177" s="8"/>
      <c r="B177" s="13"/>
      <c r="C177" s="13"/>
      <c r="D177" s="9"/>
      <c r="E177" s="9"/>
      <c r="F177" s="9"/>
      <c r="G177" s="9"/>
      <c r="H177" s="9"/>
      <c r="I177" s="14" t="str">
        <f aca="false">IF(OR(G177="",H177=""),"",1-H177/G177)</f>
        <v/>
      </c>
      <c r="J177" s="10" t="str">
        <f aca="false">IF(OR(B177="",C177=""),"",ROUND(MOD(C177-B177,1)*1440,0))</f>
        <v/>
      </c>
      <c r="K177" s="9"/>
      <c r="L177" s="9"/>
      <c r="M177" s="9"/>
      <c r="N177" s="9"/>
    </row>
    <row r="178" customFormat="false" ht="15" hidden="false" customHeight="true" outlineLevel="0" collapsed="false">
      <c r="A178" s="8"/>
      <c r="B178" s="13"/>
      <c r="C178" s="13"/>
      <c r="D178" s="9"/>
      <c r="E178" s="9"/>
      <c r="F178" s="9"/>
      <c r="G178" s="9"/>
      <c r="H178" s="9"/>
      <c r="I178" s="14" t="str">
        <f aca="false">IF(OR(G178="",H178=""),"",1-H178/G178)</f>
        <v/>
      </c>
      <c r="J178" s="10" t="str">
        <f aca="false">IF(OR(B178="",C178=""),"",ROUND(MOD(C178-B178,1)*1440,0))</f>
        <v/>
      </c>
      <c r="K178" s="9"/>
      <c r="L178" s="9"/>
      <c r="M178" s="9"/>
      <c r="N178" s="9"/>
    </row>
    <row r="179" customFormat="false" ht="15" hidden="false" customHeight="true" outlineLevel="0" collapsed="false">
      <c r="A179" s="8"/>
      <c r="B179" s="13"/>
      <c r="C179" s="13"/>
      <c r="D179" s="9"/>
      <c r="E179" s="9"/>
      <c r="F179" s="9"/>
      <c r="G179" s="9"/>
      <c r="H179" s="9"/>
      <c r="I179" s="14" t="str">
        <f aca="false">IF(OR(G179="",H179=""),"",1-H179/G179)</f>
        <v/>
      </c>
      <c r="J179" s="10" t="str">
        <f aca="false">IF(OR(B179="",C179=""),"",ROUND(MOD(C179-B179,1)*1440,0))</f>
        <v/>
      </c>
      <c r="K179" s="9"/>
      <c r="L179" s="9"/>
      <c r="M179" s="9"/>
      <c r="N179" s="9"/>
    </row>
    <row r="180" customFormat="false" ht="15" hidden="false" customHeight="true" outlineLevel="0" collapsed="false">
      <c r="A180" s="8"/>
      <c r="B180" s="13"/>
      <c r="C180" s="13"/>
      <c r="D180" s="9"/>
      <c r="E180" s="9"/>
      <c r="F180" s="9"/>
      <c r="G180" s="9"/>
      <c r="H180" s="9"/>
      <c r="I180" s="14" t="str">
        <f aca="false">IF(OR(G180="",H180=""),"",1-H180/G180)</f>
        <v/>
      </c>
      <c r="J180" s="10" t="str">
        <f aca="false">IF(OR(B180="",C180=""),"",ROUND(MOD(C180-B180,1)*1440,0))</f>
        <v/>
      </c>
      <c r="K180" s="9"/>
      <c r="L180" s="9"/>
      <c r="M180" s="9"/>
      <c r="N180" s="9"/>
    </row>
    <row r="181" customFormat="false" ht="15" hidden="false" customHeight="true" outlineLevel="0" collapsed="false">
      <c r="A181" s="8"/>
      <c r="B181" s="13"/>
      <c r="C181" s="13"/>
      <c r="D181" s="9"/>
      <c r="E181" s="9"/>
      <c r="F181" s="9"/>
      <c r="G181" s="9"/>
      <c r="H181" s="9"/>
      <c r="I181" s="14" t="str">
        <f aca="false">IF(OR(G181="",H181=""),"",1-H181/G181)</f>
        <v/>
      </c>
      <c r="J181" s="10" t="str">
        <f aca="false">IF(OR(B181="",C181=""),"",ROUND(MOD(C181-B181,1)*1440,0))</f>
        <v/>
      </c>
      <c r="K181" s="9"/>
      <c r="L181" s="9"/>
      <c r="M181" s="9"/>
      <c r="N181" s="9"/>
    </row>
    <row r="182" customFormat="false" ht="15" hidden="false" customHeight="true" outlineLevel="0" collapsed="false">
      <c r="A182" s="8"/>
      <c r="B182" s="13"/>
      <c r="C182" s="13"/>
      <c r="D182" s="9"/>
      <c r="E182" s="9"/>
      <c r="F182" s="9"/>
      <c r="G182" s="9"/>
      <c r="H182" s="9"/>
      <c r="I182" s="14" t="str">
        <f aca="false">IF(OR(G182="",H182=""),"",1-H182/G182)</f>
        <v/>
      </c>
      <c r="J182" s="10" t="str">
        <f aca="false">IF(OR(B182="",C182=""),"",ROUND(MOD(C182-B182,1)*1440,0))</f>
        <v/>
      </c>
      <c r="K182" s="9"/>
      <c r="L182" s="9"/>
      <c r="M182" s="9"/>
      <c r="N182" s="9"/>
    </row>
    <row r="183" customFormat="false" ht="15" hidden="false" customHeight="true" outlineLevel="0" collapsed="false">
      <c r="A183" s="8"/>
      <c r="B183" s="13"/>
      <c r="C183" s="13"/>
      <c r="D183" s="9"/>
      <c r="E183" s="9"/>
      <c r="F183" s="9"/>
      <c r="G183" s="9"/>
      <c r="H183" s="9"/>
      <c r="I183" s="14" t="str">
        <f aca="false">IF(OR(G183="",H183=""),"",1-H183/G183)</f>
        <v/>
      </c>
      <c r="J183" s="10" t="str">
        <f aca="false">IF(OR(B183="",C183=""),"",ROUND(MOD(C183-B183,1)*1440,0))</f>
        <v/>
      </c>
      <c r="K183" s="9"/>
      <c r="L183" s="9"/>
      <c r="M183" s="9"/>
      <c r="N183" s="9"/>
    </row>
    <row r="184" customFormat="false" ht="15" hidden="false" customHeight="true" outlineLevel="0" collapsed="false">
      <c r="A184" s="8"/>
      <c r="B184" s="13"/>
      <c r="C184" s="13"/>
      <c r="D184" s="9"/>
      <c r="E184" s="9"/>
      <c r="F184" s="9"/>
      <c r="G184" s="9"/>
      <c r="H184" s="9"/>
      <c r="I184" s="14" t="str">
        <f aca="false">IF(OR(G184="",H184=""),"",1-H184/G184)</f>
        <v/>
      </c>
      <c r="J184" s="10" t="str">
        <f aca="false">IF(OR(B184="",C184=""),"",ROUND(MOD(C184-B184,1)*1440,0))</f>
        <v/>
      </c>
      <c r="K184" s="9"/>
      <c r="L184" s="9"/>
      <c r="M184" s="9"/>
      <c r="N184" s="9"/>
    </row>
    <row r="185" customFormat="false" ht="15" hidden="false" customHeight="true" outlineLevel="0" collapsed="false">
      <c r="A185" s="8"/>
      <c r="B185" s="13"/>
      <c r="C185" s="13"/>
      <c r="D185" s="9"/>
      <c r="E185" s="9"/>
      <c r="F185" s="9"/>
      <c r="G185" s="9"/>
      <c r="H185" s="9"/>
      <c r="I185" s="14" t="str">
        <f aca="false">IF(OR(G185="",H185=""),"",1-H185/G185)</f>
        <v/>
      </c>
      <c r="J185" s="10" t="str">
        <f aca="false">IF(OR(B185="",C185=""),"",ROUND(MOD(C185-B185,1)*1440,0))</f>
        <v/>
      </c>
      <c r="K185" s="9"/>
      <c r="L185" s="9"/>
      <c r="M185" s="9"/>
      <c r="N185" s="9"/>
    </row>
    <row r="186" customFormat="false" ht="15" hidden="false" customHeight="true" outlineLevel="0" collapsed="false">
      <c r="A186" s="8"/>
      <c r="B186" s="13"/>
      <c r="C186" s="13"/>
      <c r="D186" s="9"/>
      <c r="E186" s="9"/>
      <c r="F186" s="9"/>
      <c r="G186" s="9"/>
      <c r="H186" s="9"/>
      <c r="I186" s="14" t="str">
        <f aca="false">IF(OR(G186="",H186=""),"",1-H186/G186)</f>
        <v/>
      </c>
      <c r="J186" s="10" t="str">
        <f aca="false">IF(OR(B186="",C186=""),"",ROUND(MOD(C186-B186,1)*1440,0))</f>
        <v/>
      </c>
      <c r="K186" s="9"/>
      <c r="L186" s="9"/>
      <c r="M186" s="9"/>
      <c r="N186" s="9"/>
    </row>
    <row r="187" customFormat="false" ht="15" hidden="false" customHeight="true" outlineLevel="0" collapsed="false">
      <c r="A187" s="8"/>
      <c r="B187" s="13"/>
      <c r="C187" s="13"/>
      <c r="D187" s="9"/>
      <c r="E187" s="9"/>
      <c r="F187" s="9"/>
      <c r="G187" s="9"/>
      <c r="H187" s="9"/>
      <c r="I187" s="14" t="str">
        <f aca="false">IF(OR(G187="",H187=""),"",1-H187/G187)</f>
        <v/>
      </c>
      <c r="J187" s="10" t="str">
        <f aca="false">IF(OR(B187="",C187=""),"",ROUND(MOD(C187-B187,1)*1440,0))</f>
        <v/>
      </c>
      <c r="K187" s="9"/>
      <c r="L187" s="9"/>
      <c r="M187" s="9"/>
      <c r="N187" s="9"/>
    </row>
    <row r="188" customFormat="false" ht="15" hidden="false" customHeight="true" outlineLevel="0" collapsed="false">
      <c r="A188" s="8"/>
      <c r="B188" s="13"/>
      <c r="C188" s="13"/>
      <c r="D188" s="9"/>
      <c r="E188" s="9"/>
      <c r="F188" s="9"/>
      <c r="G188" s="9"/>
      <c r="H188" s="9"/>
      <c r="I188" s="14" t="str">
        <f aca="false">IF(OR(G188="",H188=""),"",1-H188/G188)</f>
        <v/>
      </c>
      <c r="J188" s="10" t="str">
        <f aca="false">IF(OR(B188="",C188=""),"",ROUND(MOD(C188-B188,1)*1440,0))</f>
        <v/>
      </c>
      <c r="K188" s="9"/>
      <c r="L188" s="9"/>
      <c r="M188" s="9"/>
      <c r="N188" s="9"/>
    </row>
    <row r="189" customFormat="false" ht="15" hidden="false" customHeight="true" outlineLevel="0" collapsed="false">
      <c r="A189" s="8"/>
      <c r="B189" s="13"/>
      <c r="C189" s="13"/>
      <c r="D189" s="9"/>
      <c r="E189" s="9"/>
      <c r="F189" s="9"/>
      <c r="G189" s="9"/>
      <c r="H189" s="9"/>
      <c r="I189" s="14" t="str">
        <f aca="false">IF(OR(G189="",H189=""),"",1-H189/G189)</f>
        <v/>
      </c>
      <c r="J189" s="10" t="str">
        <f aca="false">IF(OR(B189="",C189=""),"",ROUND(MOD(C189-B189,1)*1440,0))</f>
        <v/>
      </c>
      <c r="K189" s="9"/>
      <c r="L189" s="9"/>
      <c r="M189" s="9"/>
      <c r="N189" s="9"/>
    </row>
    <row r="190" customFormat="false" ht="15" hidden="false" customHeight="true" outlineLevel="0" collapsed="false">
      <c r="A190" s="8"/>
      <c r="B190" s="13"/>
      <c r="C190" s="13"/>
      <c r="D190" s="9"/>
      <c r="E190" s="9"/>
      <c r="F190" s="9"/>
      <c r="G190" s="9"/>
      <c r="H190" s="9"/>
      <c r="I190" s="14" t="str">
        <f aca="false">IF(OR(G190="",H190=""),"",1-H190/G190)</f>
        <v/>
      </c>
      <c r="J190" s="10" t="str">
        <f aca="false">IF(OR(B190="",C190=""),"",ROUND(MOD(C190-B190,1)*1440,0))</f>
        <v/>
      </c>
      <c r="K190" s="9"/>
      <c r="L190" s="9"/>
      <c r="M190" s="9"/>
      <c r="N190" s="9"/>
    </row>
    <row r="191" customFormat="false" ht="15" hidden="false" customHeight="true" outlineLevel="0" collapsed="false">
      <c r="A191" s="8"/>
      <c r="B191" s="13"/>
      <c r="C191" s="13"/>
      <c r="D191" s="9"/>
      <c r="E191" s="9"/>
      <c r="F191" s="9"/>
      <c r="G191" s="9"/>
      <c r="H191" s="9"/>
      <c r="I191" s="14" t="str">
        <f aca="false">IF(OR(G191="",H191=""),"",1-H191/G191)</f>
        <v/>
      </c>
      <c r="J191" s="10" t="str">
        <f aca="false">IF(OR(B191="",C191=""),"",ROUND(MOD(C191-B191,1)*1440,0))</f>
        <v/>
      </c>
      <c r="K191" s="9"/>
      <c r="L191" s="9"/>
      <c r="M191" s="9"/>
      <c r="N191" s="9"/>
    </row>
    <row r="192" customFormat="false" ht="15" hidden="false" customHeight="true" outlineLevel="0" collapsed="false">
      <c r="A192" s="8"/>
      <c r="B192" s="13"/>
      <c r="C192" s="13"/>
      <c r="D192" s="9"/>
      <c r="E192" s="9"/>
      <c r="F192" s="9"/>
      <c r="G192" s="9"/>
      <c r="H192" s="9"/>
      <c r="I192" s="14" t="str">
        <f aca="false">IF(OR(G192="",H192=""),"",1-H192/G192)</f>
        <v/>
      </c>
      <c r="J192" s="10" t="str">
        <f aca="false">IF(OR(B192="",C192=""),"",ROUND(MOD(C192-B192,1)*1440,0))</f>
        <v/>
      </c>
      <c r="K192" s="9"/>
      <c r="L192" s="9"/>
      <c r="M192" s="9"/>
      <c r="N192" s="9"/>
    </row>
    <row r="193" customFormat="false" ht="15" hidden="false" customHeight="true" outlineLevel="0" collapsed="false">
      <c r="A193" s="8"/>
      <c r="B193" s="13"/>
      <c r="C193" s="13"/>
      <c r="D193" s="9"/>
      <c r="E193" s="9"/>
      <c r="F193" s="9"/>
      <c r="G193" s="9"/>
      <c r="H193" s="9"/>
      <c r="I193" s="14" t="str">
        <f aca="false">IF(OR(G193="",H193=""),"",1-H193/G193)</f>
        <v/>
      </c>
      <c r="J193" s="10" t="str">
        <f aca="false">IF(OR(B193="",C193=""),"",ROUND(MOD(C193-B193,1)*1440,0))</f>
        <v/>
      </c>
      <c r="K193" s="9"/>
      <c r="L193" s="9"/>
      <c r="M193" s="9"/>
      <c r="N193" s="9"/>
    </row>
    <row r="194" customFormat="false" ht="15" hidden="false" customHeight="true" outlineLevel="0" collapsed="false">
      <c r="A194" s="8"/>
      <c r="B194" s="13"/>
      <c r="C194" s="13"/>
      <c r="D194" s="9"/>
      <c r="E194" s="9"/>
      <c r="F194" s="9"/>
      <c r="G194" s="9"/>
      <c r="H194" s="9"/>
      <c r="I194" s="14" t="str">
        <f aca="false">IF(OR(G194="",H194=""),"",1-H194/G194)</f>
        <v/>
      </c>
      <c r="J194" s="10" t="str">
        <f aca="false">IF(OR(B194="",C194=""),"",ROUND(MOD(C194-B194,1)*1440,0))</f>
        <v/>
      </c>
      <c r="K194" s="9"/>
      <c r="L194" s="9"/>
      <c r="M194" s="9"/>
      <c r="N194" s="9"/>
    </row>
    <row r="195" customFormat="false" ht="15" hidden="false" customHeight="true" outlineLevel="0" collapsed="false">
      <c r="A195" s="8"/>
      <c r="B195" s="13"/>
      <c r="C195" s="13"/>
      <c r="D195" s="9"/>
      <c r="E195" s="9"/>
      <c r="F195" s="9"/>
      <c r="G195" s="9"/>
      <c r="H195" s="9"/>
      <c r="I195" s="14" t="str">
        <f aca="false">IF(OR(G195="",H195=""),"",1-H195/G195)</f>
        <v/>
      </c>
      <c r="J195" s="10" t="str">
        <f aca="false">IF(OR(B195="",C195=""),"",ROUND(MOD(C195-B195,1)*1440,0))</f>
        <v/>
      </c>
      <c r="K195" s="9"/>
      <c r="L195" s="9"/>
      <c r="M195" s="9"/>
      <c r="N195" s="9"/>
    </row>
    <row r="196" customFormat="false" ht="15" hidden="false" customHeight="true" outlineLevel="0" collapsed="false">
      <c r="A196" s="8"/>
      <c r="B196" s="13"/>
      <c r="C196" s="13"/>
      <c r="D196" s="9"/>
      <c r="E196" s="9"/>
      <c r="F196" s="9"/>
      <c r="G196" s="9"/>
      <c r="H196" s="9"/>
      <c r="I196" s="14" t="str">
        <f aca="false">IF(OR(G196="",H196=""),"",1-H196/G196)</f>
        <v/>
      </c>
      <c r="J196" s="10" t="str">
        <f aca="false">IF(OR(B196="",C196=""),"",ROUND(MOD(C196-B196,1)*1440,0))</f>
        <v/>
      </c>
      <c r="K196" s="9"/>
      <c r="L196" s="9"/>
      <c r="M196" s="9"/>
      <c r="N196" s="9"/>
    </row>
    <row r="197" customFormat="false" ht="15" hidden="false" customHeight="true" outlineLevel="0" collapsed="false">
      <c r="A197" s="8"/>
      <c r="B197" s="13"/>
      <c r="C197" s="13"/>
      <c r="D197" s="9"/>
      <c r="E197" s="9"/>
      <c r="F197" s="9"/>
      <c r="G197" s="9"/>
      <c r="H197" s="9"/>
      <c r="I197" s="14" t="str">
        <f aca="false">IF(OR(G197="",H197=""),"",1-H197/G197)</f>
        <v/>
      </c>
      <c r="J197" s="10" t="str">
        <f aca="false">IF(OR(B197="",C197=""),"",ROUND(MOD(C197-B197,1)*1440,0))</f>
        <v/>
      </c>
      <c r="K197" s="9"/>
      <c r="L197" s="9"/>
      <c r="M197" s="9"/>
      <c r="N197" s="9"/>
    </row>
    <row r="198" customFormat="false" ht="15" hidden="false" customHeight="true" outlineLevel="0" collapsed="false">
      <c r="A198" s="8"/>
      <c r="B198" s="13"/>
      <c r="C198" s="13"/>
      <c r="D198" s="9"/>
      <c r="E198" s="9"/>
      <c r="F198" s="9"/>
      <c r="G198" s="9"/>
      <c r="H198" s="9"/>
      <c r="I198" s="14" t="str">
        <f aca="false">IF(OR(G198="",H198=""),"",1-H198/G198)</f>
        <v/>
      </c>
      <c r="J198" s="10" t="str">
        <f aca="false">IF(OR(B198="",C198=""),"",ROUND(MOD(C198-B198,1)*1440,0))</f>
        <v/>
      </c>
      <c r="K198" s="9"/>
      <c r="L198" s="9"/>
      <c r="M198" s="9"/>
      <c r="N198" s="9"/>
    </row>
    <row r="199" customFormat="false" ht="15" hidden="false" customHeight="true" outlineLevel="0" collapsed="false">
      <c r="A199" s="8"/>
      <c r="B199" s="13"/>
      <c r="C199" s="13"/>
      <c r="D199" s="9"/>
      <c r="E199" s="9"/>
      <c r="F199" s="9"/>
      <c r="G199" s="9"/>
      <c r="H199" s="9"/>
      <c r="I199" s="14" t="str">
        <f aca="false">IF(OR(G199="",H199=""),"",1-H199/G199)</f>
        <v/>
      </c>
      <c r="J199" s="10" t="str">
        <f aca="false">IF(OR(B199="",C199=""),"",ROUND(MOD(C199-B199,1)*1440,0))</f>
        <v/>
      </c>
      <c r="K199" s="9"/>
      <c r="L199" s="9"/>
      <c r="M199" s="9"/>
      <c r="N199" s="9"/>
    </row>
    <row r="200" customFormat="false" ht="15" hidden="false" customHeight="true" outlineLevel="0" collapsed="false">
      <c r="A200" s="8"/>
      <c r="B200" s="13"/>
      <c r="C200" s="13"/>
      <c r="D200" s="9"/>
      <c r="E200" s="9"/>
      <c r="F200" s="9"/>
      <c r="G200" s="9"/>
      <c r="H200" s="9"/>
      <c r="I200" s="14" t="str">
        <f aca="false">IF(OR(G200="",H200=""),"",1-H200/G200)</f>
        <v/>
      </c>
      <c r="J200" s="10" t="str">
        <f aca="false">IF(OR(B200="",C200=""),"",ROUND(MOD(C200-B200,1)*1440,0))</f>
        <v/>
      </c>
      <c r="K200" s="9"/>
      <c r="L200" s="9"/>
      <c r="M200" s="9"/>
      <c r="N200" s="9"/>
    </row>
    <row r="201" customFormat="false" ht="15" hidden="false" customHeight="true" outlineLevel="0" collapsed="false">
      <c r="A201" s="8"/>
      <c r="B201" s="13"/>
      <c r="C201" s="13"/>
      <c r="D201" s="9"/>
      <c r="E201" s="9"/>
      <c r="F201" s="9"/>
      <c r="G201" s="9"/>
      <c r="H201" s="9"/>
      <c r="I201" s="14" t="str">
        <f aca="false">IF(OR(G201="",H201=""),"",1-H201/G201)</f>
        <v/>
      </c>
      <c r="J201" s="10" t="str">
        <f aca="false">IF(OR(B201="",C201=""),"",ROUND(MOD(C201-B201,1)*1440,0))</f>
        <v/>
      </c>
      <c r="K201" s="9"/>
      <c r="L201" s="9"/>
      <c r="M201" s="9"/>
      <c r="N201" s="9"/>
    </row>
    <row r="202" customFormat="false" ht="15" hidden="false" customHeight="true" outlineLevel="0" collapsed="false">
      <c r="A202" s="8"/>
      <c r="B202" s="13"/>
      <c r="C202" s="13"/>
      <c r="D202" s="9"/>
      <c r="E202" s="9"/>
      <c r="F202" s="9"/>
      <c r="G202" s="9"/>
      <c r="H202" s="9"/>
      <c r="I202" s="14" t="str">
        <f aca="false">IF(OR(G202="",H202=""),"",1-H202/G202)</f>
        <v/>
      </c>
      <c r="J202" s="10" t="str">
        <f aca="false">IF(OR(B202="",C202=""),"",ROUND(MOD(C202-B202,1)*1440,0))</f>
        <v/>
      </c>
      <c r="K202" s="9"/>
      <c r="L202" s="9"/>
      <c r="M202" s="9"/>
      <c r="N202" s="9"/>
    </row>
    <row r="203" customFormat="false" ht="15" hidden="false" customHeight="true" outlineLevel="0" collapsed="false">
      <c r="A203" s="8"/>
      <c r="B203" s="13"/>
      <c r="C203" s="13"/>
      <c r="D203" s="9"/>
      <c r="E203" s="9"/>
      <c r="F203" s="9"/>
      <c r="G203" s="9"/>
      <c r="H203" s="9"/>
      <c r="I203" s="14" t="str">
        <f aca="false">IF(OR(G203="",H203=""),"",1-H203/G203)</f>
        <v/>
      </c>
      <c r="J203" s="10" t="str">
        <f aca="false">IF(OR(B203="",C203=""),"",ROUND(MOD(C203-B203,1)*1440,0))</f>
        <v/>
      </c>
      <c r="K203" s="9"/>
      <c r="L203" s="9"/>
      <c r="M203" s="9"/>
      <c r="N203" s="9"/>
    </row>
    <row r="204" customFormat="false" ht="15" hidden="false" customHeight="true" outlineLevel="0" collapsed="false">
      <c r="A204" s="8"/>
      <c r="B204" s="13"/>
      <c r="C204" s="13"/>
      <c r="D204" s="9"/>
      <c r="E204" s="9"/>
      <c r="F204" s="9"/>
      <c r="G204" s="9"/>
      <c r="H204" s="9"/>
      <c r="I204" s="14" t="str">
        <f aca="false">IF(OR(G204="",H204=""),"",1-H204/G204)</f>
        <v/>
      </c>
      <c r="J204" s="10" t="str">
        <f aca="false">IF(OR(B204="",C204=""),"",ROUND(MOD(C204-B204,1)*1440,0))</f>
        <v/>
      </c>
      <c r="K204" s="9"/>
      <c r="L204" s="9"/>
      <c r="M204" s="9"/>
      <c r="N204" s="9"/>
    </row>
    <row r="205" customFormat="false" ht="15" hidden="false" customHeight="true" outlineLevel="0" collapsed="false">
      <c r="A205" s="8"/>
      <c r="B205" s="13"/>
      <c r="C205" s="13"/>
      <c r="D205" s="9"/>
      <c r="E205" s="9"/>
      <c r="F205" s="9"/>
      <c r="G205" s="9"/>
      <c r="H205" s="9"/>
      <c r="I205" s="14" t="str">
        <f aca="false">IF(OR(G205="",H205=""),"",1-H205/G205)</f>
        <v/>
      </c>
      <c r="J205" s="10" t="str">
        <f aca="false">IF(OR(B205="",C205=""),"",ROUND(MOD(C205-B205,1)*1440,0))</f>
        <v/>
      </c>
      <c r="K205" s="9"/>
      <c r="L205" s="9"/>
      <c r="M205" s="9"/>
      <c r="N205" s="9"/>
    </row>
    <row r="206" customFormat="false" ht="15" hidden="false" customHeight="true" outlineLevel="0" collapsed="false">
      <c r="A206" s="8"/>
      <c r="B206" s="13"/>
      <c r="C206" s="13"/>
      <c r="D206" s="9"/>
      <c r="E206" s="9"/>
      <c r="F206" s="9"/>
      <c r="G206" s="9"/>
      <c r="H206" s="9"/>
      <c r="I206" s="14" t="str">
        <f aca="false">IF(OR(G206="",H206=""),"",1-H206/G206)</f>
        <v/>
      </c>
      <c r="J206" s="10" t="str">
        <f aca="false">IF(OR(B206="",C206=""),"",ROUND(MOD(C206-B206,1)*1440,0))</f>
        <v/>
      </c>
      <c r="K206" s="9"/>
      <c r="L206" s="9"/>
      <c r="M206" s="9"/>
      <c r="N206" s="9"/>
    </row>
    <row r="207" customFormat="false" ht="15" hidden="false" customHeight="true" outlineLevel="0" collapsed="false">
      <c r="A207" s="8"/>
      <c r="B207" s="13"/>
      <c r="C207" s="13"/>
      <c r="D207" s="9"/>
      <c r="E207" s="9"/>
      <c r="F207" s="9"/>
      <c r="G207" s="9"/>
      <c r="H207" s="9"/>
      <c r="I207" s="14" t="str">
        <f aca="false">IF(OR(G207="",H207=""),"",1-H207/G207)</f>
        <v/>
      </c>
      <c r="J207" s="10" t="str">
        <f aca="false">IF(OR(B207="",C207=""),"",ROUND(MOD(C207-B207,1)*1440,0))</f>
        <v/>
      </c>
      <c r="K207" s="9"/>
      <c r="L207" s="9"/>
      <c r="M207" s="9"/>
      <c r="N207" s="9"/>
    </row>
    <row r="208" customFormat="false" ht="15" hidden="false" customHeight="true" outlineLevel="0" collapsed="false">
      <c r="A208" s="8"/>
      <c r="B208" s="13"/>
      <c r="C208" s="13"/>
      <c r="D208" s="9"/>
      <c r="E208" s="9"/>
      <c r="F208" s="9"/>
      <c r="G208" s="9"/>
      <c r="H208" s="9"/>
      <c r="I208" s="14" t="str">
        <f aca="false">IF(OR(G208="",H208=""),"",1-H208/G208)</f>
        <v/>
      </c>
      <c r="J208" s="10" t="str">
        <f aca="false">IF(OR(B208="",C208=""),"",ROUND(MOD(C208-B208,1)*1440,0))</f>
        <v/>
      </c>
      <c r="K208" s="9"/>
      <c r="L208" s="9"/>
      <c r="M208" s="9"/>
      <c r="N208" s="9"/>
    </row>
    <row r="209" customFormat="false" ht="15" hidden="false" customHeight="true" outlineLevel="0" collapsed="false">
      <c r="A209" s="8"/>
      <c r="B209" s="13"/>
      <c r="C209" s="13"/>
      <c r="D209" s="9"/>
      <c r="E209" s="9"/>
      <c r="F209" s="9"/>
      <c r="G209" s="9"/>
      <c r="H209" s="9"/>
      <c r="I209" s="14" t="str">
        <f aca="false">IF(OR(G209="",H209=""),"",1-H209/G209)</f>
        <v/>
      </c>
      <c r="J209" s="10" t="str">
        <f aca="false">IF(OR(B209="",C209=""),"",ROUND(MOD(C209-B209,1)*1440,0))</f>
        <v/>
      </c>
      <c r="K209" s="9"/>
      <c r="L209" s="9"/>
      <c r="M209" s="9"/>
      <c r="N209" s="9"/>
    </row>
    <row r="210" customFormat="false" ht="15" hidden="false" customHeight="true" outlineLevel="0" collapsed="false">
      <c r="A210" s="8"/>
      <c r="B210" s="13"/>
      <c r="C210" s="13"/>
      <c r="D210" s="9"/>
      <c r="E210" s="9"/>
      <c r="F210" s="9"/>
      <c r="G210" s="9"/>
      <c r="H210" s="9"/>
      <c r="I210" s="14" t="str">
        <f aca="false">IF(OR(G210="",H210=""),"",1-H210/G210)</f>
        <v/>
      </c>
      <c r="J210" s="10" t="str">
        <f aca="false">IF(OR(B210="",C210=""),"",ROUND(MOD(C210-B210,1)*1440,0))</f>
        <v/>
      </c>
      <c r="K210" s="9"/>
      <c r="L210" s="9"/>
      <c r="M210" s="9"/>
      <c r="N210" s="9"/>
    </row>
    <row r="211" customFormat="false" ht="15" hidden="false" customHeight="true" outlineLevel="0" collapsed="false">
      <c r="A211" s="8"/>
      <c r="B211" s="13"/>
      <c r="C211" s="13"/>
      <c r="D211" s="9"/>
      <c r="E211" s="9"/>
      <c r="F211" s="9"/>
      <c r="G211" s="9"/>
      <c r="H211" s="9"/>
      <c r="I211" s="14" t="str">
        <f aca="false">IF(OR(G211="",H211=""),"",1-H211/G211)</f>
        <v/>
      </c>
      <c r="J211" s="10" t="str">
        <f aca="false">IF(OR(B211="",C211=""),"",ROUND(MOD(C211-B211,1)*1440,0))</f>
        <v/>
      </c>
      <c r="K211" s="9"/>
      <c r="L211" s="9"/>
      <c r="M211" s="9"/>
      <c r="N211" s="9"/>
    </row>
    <row r="212" customFormat="false" ht="15" hidden="false" customHeight="true" outlineLevel="0" collapsed="false">
      <c r="A212" s="8"/>
      <c r="B212" s="13"/>
      <c r="C212" s="13"/>
      <c r="D212" s="9"/>
      <c r="E212" s="9"/>
      <c r="F212" s="9"/>
      <c r="G212" s="9"/>
      <c r="H212" s="9"/>
      <c r="I212" s="14" t="str">
        <f aca="false">IF(OR(G212="",H212=""),"",1-H212/G212)</f>
        <v/>
      </c>
      <c r="J212" s="10" t="str">
        <f aca="false">IF(OR(B212="",C212=""),"",ROUND(MOD(C212-B212,1)*1440,0))</f>
        <v/>
      </c>
      <c r="K212" s="9"/>
      <c r="L212" s="9"/>
      <c r="M212" s="9"/>
      <c r="N212" s="9"/>
    </row>
    <row r="213" customFormat="false" ht="15" hidden="false" customHeight="true" outlineLevel="0" collapsed="false">
      <c r="A213" s="8"/>
      <c r="B213" s="13"/>
      <c r="C213" s="13"/>
      <c r="D213" s="9"/>
      <c r="E213" s="9"/>
      <c r="F213" s="9"/>
      <c r="G213" s="9"/>
      <c r="H213" s="9"/>
      <c r="I213" s="14" t="str">
        <f aca="false">IF(OR(G213="",H213=""),"",1-H213/G213)</f>
        <v/>
      </c>
      <c r="J213" s="10" t="str">
        <f aca="false">IF(OR(B213="",C213=""),"",ROUND(MOD(C213-B213,1)*1440,0))</f>
        <v/>
      </c>
      <c r="K213" s="9"/>
      <c r="L213" s="9"/>
      <c r="M213" s="9"/>
      <c r="N213" s="9"/>
    </row>
    <row r="214" customFormat="false" ht="15" hidden="false" customHeight="true" outlineLevel="0" collapsed="false">
      <c r="A214" s="8"/>
      <c r="B214" s="13"/>
      <c r="C214" s="13"/>
      <c r="D214" s="9"/>
      <c r="E214" s="9"/>
      <c r="F214" s="9"/>
      <c r="G214" s="9"/>
      <c r="H214" s="9"/>
      <c r="I214" s="14" t="str">
        <f aca="false">IF(OR(G214="",H214=""),"",1-H214/G214)</f>
        <v/>
      </c>
      <c r="J214" s="10" t="str">
        <f aca="false">IF(OR(B214="",C214=""),"",ROUND(MOD(C214-B214,1)*1440,0))</f>
        <v/>
      </c>
      <c r="K214" s="9"/>
      <c r="L214" s="9"/>
      <c r="M214" s="9"/>
      <c r="N214" s="9"/>
    </row>
    <row r="215" customFormat="false" ht="15" hidden="false" customHeight="true" outlineLevel="0" collapsed="false">
      <c r="A215" s="8"/>
      <c r="B215" s="13"/>
      <c r="C215" s="13"/>
      <c r="D215" s="9"/>
      <c r="E215" s="9"/>
      <c r="F215" s="9"/>
      <c r="G215" s="9"/>
      <c r="H215" s="9"/>
      <c r="I215" s="14" t="str">
        <f aca="false">IF(OR(G215="",H215=""),"",1-H215/G215)</f>
        <v/>
      </c>
      <c r="J215" s="10" t="str">
        <f aca="false">IF(OR(B215="",C215=""),"",ROUND(MOD(C215-B215,1)*1440,0))</f>
        <v/>
      </c>
      <c r="K215" s="9"/>
      <c r="L215" s="9"/>
      <c r="M215" s="9"/>
      <c r="N215" s="9"/>
    </row>
    <row r="216" customFormat="false" ht="15" hidden="false" customHeight="true" outlineLevel="0" collapsed="false">
      <c r="A216" s="8"/>
      <c r="B216" s="13"/>
      <c r="C216" s="13"/>
      <c r="D216" s="9"/>
      <c r="E216" s="9"/>
      <c r="F216" s="9"/>
      <c r="G216" s="9"/>
      <c r="H216" s="9"/>
      <c r="I216" s="14" t="str">
        <f aca="false">IF(OR(G216="",H216=""),"",1-H216/G216)</f>
        <v/>
      </c>
      <c r="J216" s="10" t="str">
        <f aca="false">IF(OR(B216="",C216=""),"",ROUND(MOD(C216-B216,1)*1440,0))</f>
        <v/>
      </c>
      <c r="K216" s="9"/>
      <c r="L216" s="9"/>
      <c r="M216" s="9"/>
      <c r="N216" s="9"/>
    </row>
    <row r="217" customFormat="false" ht="15" hidden="false" customHeight="true" outlineLevel="0" collapsed="false">
      <c r="A217" s="8"/>
      <c r="B217" s="13"/>
      <c r="C217" s="13"/>
      <c r="D217" s="9"/>
      <c r="E217" s="9"/>
      <c r="F217" s="9"/>
      <c r="G217" s="9"/>
      <c r="H217" s="9"/>
      <c r="I217" s="14" t="str">
        <f aca="false">IF(OR(G217="",H217=""),"",1-H217/G217)</f>
        <v/>
      </c>
      <c r="J217" s="10" t="str">
        <f aca="false">IF(OR(B217="",C217=""),"",ROUND(MOD(C217-B217,1)*1440,0))</f>
        <v/>
      </c>
      <c r="K217" s="9"/>
      <c r="L217" s="9"/>
      <c r="M217" s="9"/>
      <c r="N217" s="9"/>
    </row>
    <row r="218" customFormat="false" ht="15" hidden="false" customHeight="true" outlineLevel="0" collapsed="false">
      <c r="A218" s="8"/>
      <c r="B218" s="13"/>
      <c r="C218" s="13"/>
      <c r="D218" s="9"/>
      <c r="E218" s="9"/>
      <c r="F218" s="9"/>
      <c r="G218" s="9"/>
      <c r="H218" s="9"/>
      <c r="I218" s="14" t="str">
        <f aca="false">IF(OR(G218="",H218=""),"",1-H218/G218)</f>
        <v/>
      </c>
      <c r="J218" s="10" t="str">
        <f aca="false">IF(OR(B218="",C218=""),"",ROUND(MOD(C218-B218,1)*1440,0))</f>
        <v/>
      </c>
      <c r="K218" s="9"/>
      <c r="L218" s="9"/>
      <c r="M218" s="9"/>
      <c r="N218" s="9"/>
    </row>
    <row r="219" customFormat="false" ht="15" hidden="false" customHeight="true" outlineLevel="0" collapsed="false">
      <c r="A219" s="8"/>
      <c r="B219" s="13"/>
      <c r="C219" s="13"/>
      <c r="D219" s="9"/>
      <c r="E219" s="9"/>
      <c r="F219" s="9"/>
      <c r="G219" s="9"/>
      <c r="H219" s="9"/>
      <c r="I219" s="14" t="str">
        <f aca="false">IF(OR(G219="",H219=""),"",1-H219/G219)</f>
        <v/>
      </c>
      <c r="J219" s="10" t="str">
        <f aca="false">IF(OR(B219="",C219=""),"",ROUND(MOD(C219-B219,1)*1440,0))</f>
        <v/>
      </c>
      <c r="K219" s="9"/>
      <c r="L219" s="9"/>
      <c r="M219" s="9"/>
      <c r="N219" s="9"/>
    </row>
    <row r="220" customFormat="false" ht="15" hidden="false" customHeight="true" outlineLevel="0" collapsed="false">
      <c r="A220" s="8"/>
      <c r="B220" s="13"/>
      <c r="C220" s="13"/>
      <c r="D220" s="9"/>
      <c r="E220" s="9"/>
      <c r="F220" s="9"/>
      <c r="G220" s="9"/>
      <c r="H220" s="9"/>
      <c r="I220" s="14" t="str">
        <f aca="false">IF(OR(G220="",H220=""),"",1-H220/G220)</f>
        <v/>
      </c>
      <c r="J220" s="10" t="str">
        <f aca="false">IF(OR(B220="",C220=""),"",ROUND(MOD(C220-B220,1)*1440,0))</f>
        <v/>
      </c>
      <c r="K220" s="9"/>
      <c r="L220" s="9"/>
      <c r="M220" s="9"/>
      <c r="N220" s="9"/>
    </row>
    <row r="221" customFormat="false" ht="15" hidden="false" customHeight="true" outlineLevel="0" collapsed="false">
      <c r="A221" s="8"/>
      <c r="B221" s="13"/>
      <c r="C221" s="13"/>
      <c r="D221" s="9"/>
      <c r="E221" s="9"/>
      <c r="F221" s="9"/>
      <c r="G221" s="9"/>
      <c r="H221" s="9"/>
      <c r="I221" s="14" t="str">
        <f aca="false">IF(OR(G221="",H221=""),"",1-H221/G221)</f>
        <v/>
      </c>
      <c r="J221" s="10" t="str">
        <f aca="false">IF(OR(B221="",C221=""),"",ROUND(MOD(C221-B221,1)*1440,0))</f>
        <v/>
      </c>
      <c r="K221" s="9"/>
      <c r="L221" s="9"/>
      <c r="M221" s="9"/>
      <c r="N221" s="9"/>
    </row>
    <row r="222" customFormat="false" ht="15" hidden="false" customHeight="true" outlineLevel="0" collapsed="false">
      <c r="A222" s="8"/>
      <c r="B222" s="13"/>
      <c r="C222" s="13"/>
      <c r="D222" s="9"/>
      <c r="E222" s="9"/>
      <c r="F222" s="9"/>
      <c r="G222" s="9"/>
      <c r="H222" s="9"/>
      <c r="I222" s="14" t="str">
        <f aca="false">IF(OR(G222="",H222=""),"",1-H222/G222)</f>
        <v/>
      </c>
      <c r="J222" s="10" t="str">
        <f aca="false">IF(OR(B222="",C222=""),"",ROUND(MOD(C222-B222,1)*1440,0))</f>
        <v/>
      </c>
      <c r="K222" s="9"/>
      <c r="L222" s="9"/>
      <c r="M222" s="9"/>
      <c r="N222" s="9"/>
    </row>
    <row r="223" customFormat="false" ht="15" hidden="false" customHeight="true" outlineLevel="0" collapsed="false">
      <c r="A223" s="8"/>
      <c r="B223" s="13"/>
      <c r="C223" s="13"/>
      <c r="D223" s="9"/>
      <c r="E223" s="9"/>
      <c r="F223" s="9"/>
      <c r="G223" s="9"/>
      <c r="H223" s="9"/>
      <c r="I223" s="14" t="str">
        <f aca="false">IF(OR(G223="",H223=""),"",1-H223/G223)</f>
        <v/>
      </c>
      <c r="J223" s="10" t="str">
        <f aca="false">IF(OR(B223="",C223=""),"",ROUND(MOD(C223-B223,1)*1440,0))</f>
        <v/>
      </c>
      <c r="K223" s="9"/>
      <c r="L223" s="9"/>
      <c r="M223" s="9"/>
      <c r="N223" s="9"/>
    </row>
    <row r="224" customFormat="false" ht="15" hidden="false" customHeight="true" outlineLevel="0" collapsed="false">
      <c r="A224" s="8"/>
      <c r="B224" s="13"/>
      <c r="C224" s="13"/>
      <c r="D224" s="9"/>
      <c r="E224" s="9"/>
      <c r="F224" s="9"/>
      <c r="G224" s="9"/>
      <c r="H224" s="9"/>
      <c r="I224" s="14" t="str">
        <f aca="false">IF(OR(G224="",H224=""),"",1-H224/G224)</f>
        <v/>
      </c>
      <c r="J224" s="10" t="str">
        <f aca="false">IF(OR(B224="",C224=""),"",ROUND(MOD(C224-B224,1)*1440,0))</f>
        <v/>
      </c>
      <c r="K224" s="9"/>
      <c r="L224" s="9"/>
      <c r="M224" s="9"/>
      <c r="N224" s="9"/>
    </row>
    <row r="225" customFormat="false" ht="15" hidden="false" customHeight="true" outlineLevel="0" collapsed="false">
      <c r="A225" s="8"/>
      <c r="B225" s="13"/>
      <c r="C225" s="13"/>
      <c r="D225" s="9"/>
      <c r="E225" s="9"/>
      <c r="F225" s="9"/>
      <c r="G225" s="9"/>
      <c r="H225" s="9"/>
      <c r="I225" s="14" t="str">
        <f aca="false">IF(OR(G225="",H225=""),"",1-H225/G225)</f>
        <v/>
      </c>
      <c r="J225" s="10" t="str">
        <f aca="false">IF(OR(B225="",C225=""),"",ROUND(MOD(C225-B225,1)*1440,0))</f>
        <v/>
      </c>
      <c r="K225" s="9"/>
      <c r="L225" s="9"/>
      <c r="M225" s="9"/>
      <c r="N225" s="9"/>
    </row>
    <row r="226" customFormat="false" ht="15" hidden="false" customHeight="true" outlineLevel="0" collapsed="false">
      <c r="A226" s="8"/>
      <c r="B226" s="13"/>
      <c r="C226" s="13"/>
      <c r="D226" s="9"/>
      <c r="E226" s="9"/>
      <c r="F226" s="9"/>
      <c r="G226" s="9"/>
      <c r="H226" s="9"/>
      <c r="I226" s="14" t="str">
        <f aca="false">IF(OR(G226="",H226=""),"",1-H226/G226)</f>
        <v/>
      </c>
      <c r="J226" s="10" t="str">
        <f aca="false">IF(OR(B226="",C226=""),"",ROUND(MOD(C226-B226,1)*1440,0))</f>
        <v/>
      </c>
      <c r="K226" s="9"/>
      <c r="L226" s="9"/>
      <c r="M226" s="9"/>
      <c r="N226" s="9"/>
    </row>
    <row r="227" customFormat="false" ht="15" hidden="false" customHeight="true" outlineLevel="0" collapsed="false">
      <c r="A227" s="8"/>
      <c r="B227" s="13"/>
      <c r="C227" s="13"/>
      <c r="D227" s="9"/>
      <c r="E227" s="9"/>
      <c r="F227" s="9"/>
      <c r="G227" s="9"/>
      <c r="H227" s="9"/>
      <c r="I227" s="14" t="str">
        <f aca="false">IF(OR(G227="",H227=""),"",1-H227/G227)</f>
        <v/>
      </c>
      <c r="J227" s="10" t="str">
        <f aca="false">IF(OR(B227="",C227=""),"",ROUND(MOD(C227-B227,1)*1440,0))</f>
        <v/>
      </c>
      <c r="K227" s="9"/>
      <c r="L227" s="9"/>
      <c r="M227" s="9"/>
      <c r="N227" s="9"/>
    </row>
    <row r="228" customFormat="false" ht="15" hidden="false" customHeight="true" outlineLevel="0" collapsed="false">
      <c r="A228" s="8"/>
      <c r="B228" s="13"/>
      <c r="C228" s="13"/>
      <c r="D228" s="9"/>
      <c r="E228" s="9"/>
      <c r="F228" s="9"/>
      <c r="G228" s="9"/>
      <c r="H228" s="9"/>
      <c r="I228" s="14" t="str">
        <f aca="false">IF(OR(G228="",H228=""),"",1-H228/G228)</f>
        <v/>
      </c>
      <c r="J228" s="10" t="str">
        <f aca="false">IF(OR(B228="",C228=""),"",ROUND(MOD(C228-B228,1)*1440,0))</f>
        <v/>
      </c>
      <c r="K228" s="9"/>
      <c r="L228" s="9"/>
      <c r="M228" s="9"/>
      <c r="N228" s="9"/>
    </row>
    <row r="229" customFormat="false" ht="15" hidden="false" customHeight="true" outlineLevel="0" collapsed="false">
      <c r="A229" s="8"/>
      <c r="B229" s="13"/>
      <c r="C229" s="13"/>
      <c r="D229" s="9"/>
      <c r="E229" s="9"/>
      <c r="F229" s="9"/>
      <c r="G229" s="9"/>
      <c r="H229" s="9"/>
      <c r="I229" s="14" t="str">
        <f aca="false">IF(OR(G229="",H229=""),"",1-H229/G229)</f>
        <v/>
      </c>
      <c r="J229" s="10" t="str">
        <f aca="false">IF(OR(B229="",C229=""),"",ROUND(MOD(C229-B229,1)*1440,0))</f>
        <v/>
      </c>
      <c r="K229" s="9"/>
      <c r="L229" s="9"/>
      <c r="M229" s="9"/>
      <c r="N229" s="9"/>
    </row>
    <row r="230" customFormat="false" ht="15" hidden="false" customHeight="true" outlineLevel="0" collapsed="false">
      <c r="A230" s="8"/>
      <c r="B230" s="13"/>
      <c r="C230" s="13"/>
      <c r="D230" s="9"/>
      <c r="E230" s="9"/>
      <c r="F230" s="9"/>
      <c r="G230" s="9"/>
      <c r="H230" s="9"/>
      <c r="I230" s="14" t="str">
        <f aca="false">IF(OR(G230="",H230=""),"",1-H230/G230)</f>
        <v/>
      </c>
      <c r="J230" s="10" t="str">
        <f aca="false">IF(OR(B230="",C230=""),"",ROUND(MOD(C230-B230,1)*1440,0))</f>
        <v/>
      </c>
      <c r="K230" s="9"/>
      <c r="L230" s="9"/>
      <c r="M230" s="9"/>
      <c r="N230" s="9"/>
    </row>
    <row r="231" customFormat="false" ht="15" hidden="false" customHeight="true" outlineLevel="0" collapsed="false">
      <c r="A231" s="8"/>
      <c r="B231" s="13"/>
      <c r="C231" s="13"/>
      <c r="D231" s="9"/>
      <c r="E231" s="9"/>
      <c r="F231" s="9"/>
      <c r="G231" s="9"/>
      <c r="H231" s="9"/>
      <c r="I231" s="14" t="str">
        <f aca="false">IF(OR(G231="",H231=""),"",1-H231/G231)</f>
        <v/>
      </c>
      <c r="J231" s="10" t="str">
        <f aca="false">IF(OR(B231="",C231=""),"",ROUND(MOD(C231-B231,1)*1440,0))</f>
        <v/>
      </c>
      <c r="K231" s="9"/>
      <c r="L231" s="9"/>
      <c r="M231" s="9"/>
      <c r="N231" s="9"/>
    </row>
    <row r="232" customFormat="false" ht="15" hidden="false" customHeight="true" outlineLevel="0" collapsed="false">
      <c r="A232" s="8"/>
      <c r="B232" s="13"/>
      <c r="C232" s="13"/>
      <c r="D232" s="9"/>
      <c r="E232" s="9"/>
      <c r="F232" s="9"/>
      <c r="G232" s="9"/>
      <c r="H232" s="9"/>
      <c r="I232" s="14" t="str">
        <f aca="false">IF(OR(G232="",H232=""),"",1-H232/G232)</f>
        <v/>
      </c>
      <c r="J232" s="10" t="str">
        <f aca="false">IF(OR(B232="",C232=""),"",ROUND(MOD(C232-B232,1)*1440,0))</f>
        <v/>
      </c>
      <c r="K232" s="9"/>
      <c r="L232" s="9"/>
      <c r="M232" s="9"/>
      <c r="N232" s="9"/>
    </row>
    <row r="233" customFormat="false" ht="15" hidden="false" customHeight="true" outlineLevel="0" collapsed="false">
      <c r="A233" s="8"/>
      <c r="B233" s="13"/>
      <c r="C233" s="13"/>
      <c r="D233" s="9"/>
      <c r="E233" s="9"/>
      <c r="F233" s="9"/>
      <c r="G233" s="9"/>
      <c r="H233" s="9"/>
      <c r="I233" s="14" t="str">
        <f aca="false">IF(OR(G233="",H233=""),"",1-H233/G233)</f>
        <v/>
      </c>
      <c r="J233" s="10" t="str">
        <f aca="false">IF(OR(B233="",C233=""),"",ROUND(MOD(C233-B233,1)*1440,0))</f>
        <v/>
      </c>
      <c r="K233" s="9"/>
      <c r="L233" s="9"/>
      <c r="M233" s="9"/>
      <c r="N233" s="9"/>
    </row>
    <row r="234" customFormat="false" ht="15" hidden="false" customHeight="true" outlineLevel="0" collapsed="false">
      <c r="A234" s="8"/>
      <c r="B234" s="13"/>
      <c r="C234" s="13"/>
      <c r="D234" s="9"/>
      <c r="E234" s="9"/>
      <c r="F234" s="9"/>
      <c r="G234" s="9"/>
      <c r="H234" s="9"/>
      <c r="I234" s="14" t="str">
        <f aca="false">IF(OR(G234="",H234=""),"",1-H234/G234)</f>
        <v/>
      </c>
      <c r="J234" s="10" t="str">
        <f aca="false">IF(OR(B234="",C234=""),"",ROUND(MOD(C234-B234,1)*1440,0))</f>
        <v/>
      </c>
      <c r="K234" s="9"/>
      <c r="L234" s="9"/>
      <c r="M234" s="9"/>
      <c r="N234" s="9"/>
    </row>
    <row r="235" customFormat="false" ht="15" hidden="false" customHeight="true" outlineLevel="0" collapsed="false">
      <c r="A235" s="8"/>
      <c r="B235" s="13"/>
      <c r="C235" s="13"/>
      <c r="D235" s="9"/>
      <c r="E235" s="9"/>
      <c r="F235" s="9"/>
      <c r="G235" s="9"/>
      <c r="H235" s="9"/>
      <c r="I235" s="14" t="str">
        <f aca="false">IF(OR(G235="",H235=""),"",1-H235/G235)</f>
        <v/>
      </c>
      <c r="J235" s="10" t="str">
        <f aca="false">IF(OR(B235="",C235=""),"",ROUND(MOD(C235-B235,1)*1440,0))</f>
        <v/>
      </c>
      <c r="K235" s="9"/>
      <c r="L235" s="9"/>
      <c r="M235" s="9"/>
      <c r="N235" s="9"/>
    </row>
    <row r="236" customFormat="false" ht="15" hidden="false" customHeight="true" outlineLevel="0" collapsed="false">
      <c r="A236" s="8"/>
      <c r="B236" s="13"/>
      <c r="C236" s="13"/>
      <c r="D236" s="9"/>
      <c r="E236" s="9"/>
      <c r="F236" s="9"/>
      <c r="G236" s="9"/>
      <c r="H236" s="9"/>
      <c r="I236" s="14" t="str">
        <f aca="false">IF(OR(G236="",H236=""),"",1-H236/G236)</f>
        <v/>
      </c>
      <c r="J236" s="10" t="str">
        <f aca="false">IF(OR(B236="",C236=""),"",ROUND(MOD(C236-B236,1)*1440,0))</f>
        <v/>
      </c>
      <c r="K236" s="9"/>
      <c r="L236" s="9"/>
      <c r="M236" s="9"/>
      <c r="N236" s="9"/>
    </row>
    <row r="237" customFormat="false" ht="15" hidden="false" customHeight="true" outlineLevel="0" collapsed="false">
      <c r="A237" s="8"/>
      <c r="B237" s="13"/>
      <c r="C237" s="13"/>
      <c r="D237" s="9"/>
      <c r="E237" s="9"/>
      <c r="F237" s="9"/>
      <c r="G237" s="9"/>
      <c r="H237" s="9"/>
      <c r="I237" s="14" t="str">
        <f aca="false">IF(OR(G237="",H237=""),"",1-H237/G237)</f>
        <v/>
      </c>
      <c r="J237" s="10" t="str">
        <f aca="false">IF(OR(B237="",C237=""),"",ROUND(MOD(C237-B237,1)*1440,0))</f>
        <v/>
      </c>
      <c r="K237" s="9"/>
      <c r="L237" s="9"/>
      <c r="M237" s="9"/>
      <c r="N237" s="9"/>
    </row>
    <row r="238" customFormat="false" ht="15" hidden="false" customHeight="true" outlineLevel="0" collapsed="false">
      <c r="A238" s="8"/>
      <c r="B238" s="13"/>
      <c r="C238" s="13"/>
      <c r="D238" s="9"/>
      <c r="E238" s="9"/>
      <c r="F238" s="9"/>
      <c r="G238" s="9"/>
      <c r="H238" s="9"/>
      <c r="I238" s="14" t="str">
        <f aca="false">IF(OR(G238="",H238=""),"",1-H238/G238)</f>
        <v/>
      </c>
      <c r="J238" s="10" t="str">
        <f aca="false">IF(OR(B238="",C238=""),"",ROUND(MOD(C238-B238,1)*1440,0))</f>
        <v/>
      </c>
      <c r="K238" s="9"/>
      <c r="L238" s="9"/>
      <c r="M238" s="9"/>
      <c r="N238" s="9"/>
    </row>
    <row r="239" customFormat="false" ht="15" hidden="false" customHeight="true" outlineLevel="0" collapsed="false">
      <c r="A239" s="8"/>
      <c r="B239" s="13"/>
      <c r="C239" s="13"/>
      <c r="D239" s="9"/>
      <c r="E239" s="9"/>
      <c r="F239" s="9"/>
      <c r="G239" s="9"/>
      <c r="H239" s="9"/>
      <c r="I239" s="14" t="str">
        <f aca="false">IF(OR(G239="",H239=""),"",1-H239/G239)</f>
        <v/>
      </c>
      <c r="J239" s="10" t="str">
        <f aca="false">IF(OR(B239="",C239=""),"",ROUND(MOD(C239-B239,1)*1440,0))</f>
        <v/>
      </c>
      <c r="K239" s="9"/>
      <c r="L239" s="9"/>
      <c r="M239" s="9"/>
      <c r="N239" s="9"/>
    </row>
    <row r="240" customFormat="false" ht="15" hidden="false" customHeight="true" outlineLevel="0" collapsed="false">
      <c r="A240" s="8"/>
      <c r="B240" s="13"/>
      <c r="C240" s="13"/>
      <c r="D240" s="9"/>
      <c r="E240" s="9"/>
      <c r="F240" s="9"/>
      <c r="G240" s="9"/>
      <c r="H240" s="9"/>
      <c r="I240" s="14" t="str">
        <f aca="false">IF(OR(G240="",H240=""),"",1-H240/G240)</f>
        <v/>
      </c>
      <c r="J240" s="10" t="str">
        <f aca="false">IF(OR(B240="",C240=""),"",ROUND(MOD(C240-B240,1)*1440,0))</f>
        <v/>
      </c>
      <c r="K240" s="9"/>
      <c r="L240" s="9"/>
      <c r="M240" s="9"/>
      <c r="N240" s="9"/>
    </row>
    <row r="241" customFormat="false" ht="15" hidden="false" customHeight="true" outlineLevel="0" collapsed="false">
      <c r="A241" s="8"/>
      <c r="B241" s="13"/>
      <c r="C241" s="13"/>
      <c r="D241" s="9"/>
      <c r="E241" s="9"/>
      <c r="F241" s="9"/>
      <c r="G241" s="9"/>
      <c r="H241" s="9"/>
      <c r="I241" s="14" t="str">
        <f aca="false">IF(OR(G241="",H241=""),"",1-H241/G241)</f>
        <v/>
      </c>
      <c r="J241" s="10" t="str">
        <f aca="false">IF(OR(B241="",C241=""),"",ROUND(MOD(C241-B241,1)*1440,0))</f>
        <v/>
      </c>
      <c r="K241" s="9"/>
      <c r="L241" s="9"/>
      <c r="M241" s="9"/>
      <c r="N241" s="9"/>
    </row>
    <row r="242" customFormat="false" ht="15" hidden="false" customHeight="true" outlineLevel="0" collapsed="false">
      <c r="A242" s="8"/>
      <c r="B242" s="13"/>
      <c r="C242" s="13"/>
      <c r="D242" s="9"/>
      <c r="E242" s="9"/>
      <c r="F242" s="9"/>
      <c r="G242" s="9"/>
      <c r="H242" s="9"/>
      <c r="I242" s="14" t="str">
        <f aca="false">IF(OR(G242="",H242=""),"",1-H242/G242)</f>
        <v/>
      </c>
      <c r="J242" s="10" t="str">
        <f aca="false">IF(OR(B242="",C242=""),"",ROUND(MOD(C242-B242,1)*1440,0))</f>
        <v/>
      </c>
      <c r="K242" s="9"/>
      <c r="L242" s="9"/>
      <c r="M242" s="9"/>
      <c r="N242" s="9"/>
    </row>
    <row r="243" customFormat="false" ht="15" hidden="false" customHeight="true" outlineLevel="0" collapsed="false">
      <c r="A243" s="8"/>
      <c r="B243" s="13"/>
      <c r="C243" s="13"/>
      <c r="D243" s="9"/>
      <c r="E243" s="9"/>
      <c r="F243" s="9"/>
      <c r="G243" s="9"/>
      <c r="H243" s="9"/>
      <c r="I243" s="14" t="str">
        <f aca="false">IF(OR(G243="",H243=""),"",1-H243/G243)</f>
        <v/>
      </c>
      <c r="J243" s="10" t="str">
        <f aca="false">IF(OR(B243="",C243=""),"",ROUND(MOD(C243-B243,1)*1440,0))</f>
        <v/>
      </c>
      <c r="K243" s="9"/>
      <c r="L243" s="9"/>
      <c r="M243" s="9"/>
      <c r="N243" s="9"/>
    </row>
    <row r="244" customFormat="false" ht="15" hidden="false" customHeight="true" outlineLevel="0" collapsed="false">
      <c r="A244" s="8"/>
      <c r="B244" s="13"/>
      <c r="C244" s="13"/>
      <c r="D244" s="9"/>
      <c r="E244" s="9"/>
      <c r="F244" s="9"/>
      <c r="G244" s="9"/>
      <c r="H244" s="9"/>
      <c r="I244" s="14" t="str">
        <f aca="false">IF(OR(G244="",H244=""),"",1-H244/G244)</f>
        <v/>
      </c>
      <c r="J244" s="10" t="str">
        <f aca="false">IF(OR(B244="",C244=""),"",ROUND(MOD(C244-B244,1)*1440,0))</f>
        <v/>
      </c>
      <c r="K244" s="9"/>
      <c r="L244" s="9"/>
      <c r="M244" s="9"/>
      <c r="N244" s="9"/>
    </row>
    <row r="245" customFormat="false" ht="15" hidden="false" customHeight="true" outlineLevel="0" collapsed="false">
      <c r="A245" s="8"/>
      <c r="B245" s="13"/>
      <c r="C245" s="13"/>
      <c r="D245" s="9"/>
      <c r="E245" s="9"/>
      <c r="F245" s="9"/>
      <c r="G245" s="9"/>
      <c r="H245" s="9"/>
      <c r="I245" s="14" t="str">
        <f aca="false">IF(OR(G245="",H245=""),"",1-H245/G245)</f>
        <v/>
      </c>
      <c r="J245" s="10" t="str">
        <f aca="false">IF(OR(B245="",C245=""),"",ROUND(MOD(C245-B245,1)*1440,0))</f>
        <v/>
      </c>
      <c r="K245" s="9"/>
      <c r="L245" s="9"/>
      <c r="M245" s="9"/>
      <c r="N245" s="9"/>
    </row>
    <row r="246" customFormat="false" ht="15" hidden="false" customHeight="true" outlineLevel="0" collapsed="false">
      <c r="A246" s="8"/>
      <c r="B246" s="13"/>
      <c r="C246" s="13"/>
      <c r="D246" s="9"/>
      <c r="E246" s="9"/>
      <c r="F246" s="9"/>
      <c r="G246" s="9"/>
      <c r="H246" s="9"/>
      <c r="I246" s="14" t="str">
        <f aca="false">IF(OR(G246="",H246=""),"",1-H246/G246)</f>
        <v/>
      </c>
      <c r="J246" s="10" t="str">
        <f aca="false">IF(OR(B246="",C246=""),"",ROUND(MOD(C246-B246,1)*1440,0))</f>
        <v/>
      </c>
      <c r="K246" s="9"/>
      <c r="L246" s="9"/>
      <c r="M246" s="9"/>
      <c r="N246" s="9"/>
    </row>
    <row r="247" customFormat="false" ht="15" hidden="false" customHeight="true" outlineLevel="0" collapsed="false">
      <c r="A247" s="8"/>
      <c r="B247" s="13"/>
      <c r="C247" s="13"/>
      <c r="D247" s="9"/>
      <c r="E247" s="9"/>
      <c r="F247" s="9"/>
      <c r="G247" s="9"/>
      <c r="H247" s="9"/>
      <c r="I247" s="14" t="str">
        <f aca="false">IF(OR(G247="",H247=""),"",1-H247/G247)</f>
        <v/>
      </c>
      <c r="J247" s="10" t="str">
        <f aca="false">IF(OR(B247="",C247=""),"",ROUND(MOD(C247-B247,1)*1440,0))</f>
        <v/>
      </c>
      <c r="K247" s="9"/>
      <c r="L247" s="9"/>
      <c r="M247" s="9"/>
      <c r="N247" s="9"/>
    </row>
    <row r="248" customFormat="false" ht="15" hidden="false" customHeight="true" outlineLevel="0" collapsed="false">
      <c r="A248" s="8"/>
      <c r="B248" s="13"/>
      <c r="C248" s="13"/>
      <c r="D248" s="9"/>
      <c r="E248" s="9"/>
      <c r="F248" s="9"/>
      <c r="G248" s="9"/>
      <c r="H248" s="9"/>
      <c r="I248" s="14" t="str">
        <f aca="false">IF(OR(G248="",H248=""),"",1-H248/G248)</f>
        <v/>
      </c>
      <c r="J248" s="10" t="str">
        <f aca="false">IF(OR(B248="",C248=""),"",ROUND(MOD(C248-B248,1)*1440,0))</f>
        <v/>
      </c>
      <c r="K248" s="9"/>
      <c r="L248" s="9"/>
      <c r="M248" s="9"/>
      <c r="N248" s="9"/>
    </row>
    <row r="249" customFormat="false" ht="15" hidden="false" customHeight="true" outlineLevel="0" collapsed="false">
      <c r="A249" s="8"/>
      <c r="B249" s="13"/>
      <c r="C249" s="13"/>
      <c r="D249" s="9"/>
      <c r="E249" s="9"/>
      <c r="F249" s="9"/>
      <c r="G249" s="9"/>
      <c r="H249" s="9"/>
      <c r="I249" s="14" t="str">
        <f aca="false">IF(OR(G249="",H249=""),"",1-H249/G249)</f>
        <v/>
      </c>
      <c r="J249" s="10" t="str">
        <f aca="false">IF(OR(B249="",C249=""),"",ROUND(MOD(C249-B249,1)*1440,0))</f>
        <v/>
      </c>
      <c r="K249" s="9"/>
      <c r="L249" s="9"/>
      <c r="M249" s="9"/>
      <c r="N249" s="9"/>
    </row>
    <row r="250" customFormat="false" ht="15" hidden="false" customHeight="true" outlineLevel="0" collapsed="false">
      <c r="A250" s="8"/>
      <c r="B250" s="13"/>
      <c r="C250" s="13"/>
      <c r="D250" s="9"/>
      <c r="E250" s="9"/>
      <c r="F250" s="9"/>
      <c r="G250" s="9"/>
      <c r="H250" s="9"/>
      <c r="I250" s="14" t="str">
        <f aca="false">IF(OR(G250="",H250=""),"",1-H250/G250)</f>
        <v/>
      </c>
      <c r="J250" s="10" t="str">
        <f aca="false">IF(OR(B250="",C250=""),"",ROUND(MOD(C250-B250,1)*1440,0))</f>
        <v/>
      </c>
      <c r="K250" s="9"/>
      <c r="L250" s="9"/>
      <c r="M250" s="9"/>
      <c r="N250" s="9"/>
    </row>
    <row r="251" customFormat="false" ht="15" hidden="false" customHeight="true" outlineLevel="0" collapsed="false">
      <c r="A251" s="8"/>
      <c r="B251" s="13"/>
      <c r="C251" s="13"/>
      <c r="D251" s="9"/>
      <c r="E251" s="9"/>
      <c r="F251" s="9"/>
      <c r="G251" s="9"/>
      <c r="H251" s="9"/>
      <c r="I251" s="14" t="str">
        <f aca="false">IF(OR(G251="",H251=""),"",1-H251/G251)</f>
        <v/>
      </c>
      <c r="J251" s="10" t="str">
        <f aca="false">IF(OR(B251="",C251=""),"",ROUND(MOD(C251-B251,1)*1440,0))</f>
        <v/>
      </c>
      <c r="K251" s="9"/>
      <c r="L251" s="9"/>
      <c r="M251" s="9"/>
      <c r="N251" s="9"/>
    </row>
    <row r="252" customFormat="false" ht="15" hidden="false" customHeight="true" outlineLevel="0" collapsed="false">
      <c r="A252" s="8"/>
      <c r="B252" s="13"/>
      <c r="C252" s="13"/>
      <c r="D252" s="9"/>
      <c r="E252" s="9"/>
      <c r="F252" s="9"/>
      <c r="G252" s="9"/>
      <c r="H252" s="9"/>
      <c r="I252" s="14" t="str">
        <f aca="false">IF(OR(G252="",H252=""),"",1-H252/G252)</f>
        <v/>
      </c>
      <c r="J252" s="10" t="str">
        <f aca="false">IF(OR(B252="",C252=""),"",ROUND(MOD(C252-B252,1)*1440,0))</f>
        <v/>
      </c>
      <c r="K252" s="9"/>
      <c r="L252" s="9"/>
      <c r="M252" s="9"/>
      <c r="N252" s="9"/>
    </row>
    <row r="253" customFormat="false" ht="15" hidden="false" customHeight="true" outlineLevel="0" collapsed="false">
      <c r="A253" s="8"/>
      <c r="B253" s="13"/>
      <c r="C253" s="13"/>
      <c r="D253" s="9"/>
      <c r="E253" s="9"/>
      <c r="F253" s="9"/>
      <c r="G253" s="9"/>
      <c r="H253" s="9"/>
      <c r="I253" s="14" t="str">
        <f aca="false">IF(OR(G253="",H253=""),"",1-H253/G253)</f>
        <v/>
      </c>
      <c r="J253" s="10" t="str">
        <f aca="false">IF(OR(B253="",C253=""),"",ROUND(MOD(C253-B253,1)*1440,0))</f>
        <v/>
      </c>
      <c r="K253" s="9"/>
      <c r="L253" s="9"/>
      <c r="M253" s="9"/>
      <c r="N253" s="9"/>
    </row>
    <row r="254" customFormat="false" ht="15" hidden="false" customHeight="true" outlineLevel="0" collapsed="false">
      <c r="A254" s="8"/>
      <c r="B254" s="13"/>
      <c r="C254" s="13"/>
      <c r="D254" s="9"/>
      <c r="E254" s="9"/>
      <c r="F254" s="9"/>
      <c r="G254" s="9"/>
      <c r="H254" s="9"/>
      <c r="I254" s="14" t="str">
        <f aca="false">IF(OR(G254="",H254=""),"",1-H254/G254)</f>
        <v/>
      </c>
      <c r="J254" s="10" t="str">
        <f aca="false">IF(OR(B254="",C254=""),"",ROUND(MOD(C254-B254,1)*1440,0))</f>
        <v/>
      </c>
      <c r="K254" s="9"/>
      <c r="L254" s="9"/>
      <c r="M254" s="9"/>
      <c r="N254" s="9"/>
    </row>
    <row r="255" customFormat="false" ht="15" hidden="false" customHeight="true" outlineLevel="0" collapsed="false">
      <c r="A255" s="8"/>
      <c r="B255" s="13"/>
      <c r="C255" s="13"/>
      <c r="D255" s="9"/>
      <c r="E255" s="9"/>
      <c r="F255" s="9"/>
      <c r="G255" s="9"/>
      <c r="H255" s="9"/>
      <c r="I255" s="14" t="str">
        <f aca="false">IF(OR(G255="",H255=""),"",1-H255/G255)</f>
        <v/>
      </c>
      <c r="J255" s="10" t="str">
        <f aca="false">IF(OR(B255="",C255=""),"",ROUND(MOD(C255-B255,1)*1440,0))</f>
        <v/>
      </c>
      <c r="K255" s="9"/>
      <c r="L255" s="9"/>
      <c r="M255" s="9"/>
      <c r="N255" s="9"/>
    </row>
    <row r="256" customFormat="false" ht="15" hidden="false" customHeight="true" outlineLevel="0" collapsed="false">
      <c r="A256" s="8"/>
      <c r="B256" s="13"/>
      <c r="C256" s="13"/>
      <c r="D256" s="9"/>
      <c r="E256" s="9"/>
      <c r="F256" s="9"/>
      <c r="G256" s="9"/>
      <c r="H256" s="9"/>
      <c r="I256" s="14" t="str">
        <f aca="false">IF(OR(G256="",H256=""),"",1-H256/G256)</f>
        <v/>
      </c>
      <c r="J256" s="10" t="str">
        <f aca="false">IF(OR(B256="",C256=""),"",ROUND(MOD(C256-B256,1)*1440,0))</f>
        <v/>
      </c>
      <c r="K256" s="9"/>
      <c r="L256" s="9"/>
      <c r="M256" s="9"/>
      <c r="N256" s="9"/>
    </row>
    <row r="257" customFormat="false" ht="15" hidden="false" customHeight="true" outlineLevel="0" collapsed="false">
      <c r="A257" s="8"/>
      <c r="B257" s="13"/>
      <c r="C257" s="13"/>
      <c r="D257" s="9"/>
      <c r="E257" s="9"/>
      <c r="F257" s="9"/>
      <c r="G257" s="9"/>
      <c r="H257" s="9"/>
      <c r="I257" s="14" t="str">
        <f aca="false">IF(OR(G257="",H257=""),"",1-H257/G257)</f>
        <v/>
      </c>
      <c r="J257" s="10" t="str">
        <f aca="false">IF(OR(B257="",C257=""),"",ROUND(MOD(C257-B257,1)*1440,0))</f>
        <v/>
      </c>
      <c r="K257" s="9"/>
      <c r="L257" s="9"/>
      <c r="M257" s="9"/>
      <c r="N257" s="9"/>
    </row>
    <row r="258" customFormat="false" ht="15" hidden="false" customHeight="true" outlineLevel="0" collapsed="false">
      <c r="A258" s="8"/>
      <c r="B258" s="13"/>
      <c r="C258" s="13"/>
      <c r="D258" s="9"/>
      <c r="E258" s="9"/>
      <c r="F258" s="9"/>
      <c r="G258" s="9"/>
      <c r="H258" s="9"/>
      <c r="I258" s="14" t="str">
        <f aca="false">IF(OR(G258="",H258=""),"",1-H258/G258)</f>
        <v/>
      </c>
      <c r="J258" s="10" t="str">
        <f aca="false">IF(OR(B258="",C258=""),"",ROUND(MOD(C258-B258,1)*1440,0))</f>
        <v/>
      </c>
      <c r="K258" s="9"/>
      <c r="L258" s="9"/>
      <c r="M258" s="9"/>
      <c r="N258" s="9"/>
    </row>
    <row r="259" customFormat="false" ht="15" hidden="false" customHeight="true" outlineLevel="0" collapsed="false">
      <c r="A259" s="8"/>
      <c r="B259" s="13"/>
      <c r="C259" s="13"/>
      <c r="D259" s="9"/>
      <c r="E259" s="9"/>
      <c r="F259" s="9"/>
      <c r="G259" s="9"/>
      <c r="H259" s="9"/>
      <c r="I259" s="14" t="str">
        <f aca="false">IF(OR(G259="",H259=""),"",1-H259/G259)</f>
        <v/>
      </c>
      <c r="J259" s="10" t="str">
        <f aca="false">IF(OR(B259="",C259=""),"",ROUND(MOD(C259-B259,1)*1440,0))</f>
        <v/>
      </c>
      <c r="K259" s="9"/>
      <c r="L259" s="9"/>
      <c r="M259" s="9"/>
      <c r="N259" s="9"/>
    </row>
    <row r="260" customFormat="false" ht="15" hidden="false" customHeight="true" outlineLevel="0" collapsed="false">
      <c r="A260" s="8"/>
      <c r="B260" s="13"/>
      <c r="C260" s="13"/>
      <c r="D260" s="9"/>
      <c r="E260" s="9"/>
      <c r="F260" s="9"/>
      <c r="G260" s="9"/>
      <c r="H260" s="9"/>
      <c r="I260" s="14" t="str">
        <f aca="false">IF(OR(G260="",H260=""),"",1-H260/G260)</f>
        <v/>
      </c>
      <c r="J260" s="10" t="str">
        <f aca="false">IF(OR(B260="",C260=""),"",ROUND(MOD(C260-B260,1)*1440,0))</f>
        <v/>
      </c>
      <c r="K260" s="9"/>
      <c r="L260" s="9"/>
      <c r="M260" s="9"/>
      <c r="N260" s="9"/>
    </row>
    <row r="261" customFormat="false" ht="15" hidden="false" customHeight="true" outlineLevel="0" collapsed="false">
      <c r="A261" s="8"/>
      <c r="B261" s="13"/>
      <c r="C261" s="13"/>
      <c r="D261" s="9"/>
      <c r="E261" s="9"/>
      <c r="F261" s="9"/>
      <c r="G261" s="9"/>
      <c r="H261" s="9"/>
      <c r="I261" s="14" t="str">
        <f aca="false">IF(OR(G261="",H261=""),"",1-H261/G261)</f>
        <v/>
      </c>
      <c r="J261" s="10" t="str">
        <f aca="false">IF(OR(B261="",C261=""),"",ROUND(MOD(C261-B261,1)*1440,0))</f>
        <v/>
      </c>
      <c r="K261" s="9"/>
      <c r="L261" s="9"/>
      <c r="M261" s="9"/>
      <c r="N261" s="9"/>
    </row>
    <row r="262" customFormat="false" ht="15" hidden="false" customHeight="true" outlineLevel="0" collapsed="false">
      <c r="A262" s="8"/>
      <c r="B262" s="13"/>
      <c r="C262" s="13"/>
      <c r="D262" s="9"/>
      <c r="E262" s="9"/>
      <c r="F262" s="9"/>
      <c r="G262" s="9"/>
      <c r="H262" s="9"/>
      <c r="I262" s="14" t="str">
        <f aca="false">IF(OR(G262="",H262=""),"",1-H262/G262)</f>
        <v/>
      </c>
      <c r="J262" s="10" t="str">
        <f aca="false">IF(OR(B262="",C262=""),"",ROUND(MOD(C262-B262,1)*1440,0))</f>
        <v/>
      </c>
      <c r="K262" s="9"/>
      <c r="L262" s="9"/>
      <c r="M262" s="9"/>
      <c r="N262" s="9"/>
    </row>
    <row r="263" customFormat="false" ht="15" hidden="false" customHeight="true" outlineLevel="0" collapsed="false">
      <c r="A263" s="8"/>
      <c r="B263" s="13"/>
      <c r="C263" s="13"/>
      <c r="D263" s="9"/>
      <c r="E263" s="9"/>
      <c r="F263" s="9"/>
      <c r="G263" s="9"/>
      <c r="H263" s="9"/>
      <c r="I263" s="14" t="str">
        <f aca="false">IF(OR(G263="",H263=""),"",1-H263/G263)</f>
        <v/>
      </c>
      <c r="J263" s="10" t="str">
        <f aca="false">IF(OR(B263="",C263=""),"",ROUND(MOD(C263-B263,1)*1440,0))</f>
        <v/>
      </c>
      <c r="K263" s="9"/>
      <c r="L263" s="9"/>
      <c r="M263" s="9"/>
      <c r="N263" s="9"/>
    </row>
    <row r="264" customFormat="false" ht="15" hidden="false" customHeight="true" outlineLevel="0" collapsed="false">
      <c r="A264" s="8"/>
      <c r="B264" s="13"/>
      <c r="C264" s="13"/>
      <c r="D264" s="9"/>
      <c r="E264" s="9"/>
      <c r="F264" s="9"/>
      <c r="G264" s="9"/>
      <c r="H264" s="9"/>
      <c r="I264" s="14" t="str">
        <f aca="false">IF(OR(G264="",H264=""),"",1-H264/G264)</f>
        <v/>
      </c>
      <c r="J264" s="10" t="str">
        <f aca="false">IF(OR(B264="",C264=""),"",ROUND(MOD(C264-B264,1)*1440,0))</f>
        <v/>
      </c>
      <c r="K264" s="9"/>
      <c r="L264" s="9"/>
      <c r="M264" s="9"/>
      <c r="N264" s="9"/>
    </row>
    <row r="265" customFormat="false" ht="15" hidden="false" customHeight="true" outlineLevel="0" collapsed="false">
      <c r="A265" s="8"/>
      <c r="B265" s="13"/>
      <c r="C265" s="13"/>
      <c r="D265" s="9"/>
      <c r="E265" s="9"/>
      <c r="F265" s="9"/>
      <c r="G265" s="9"/>
      <c r="H265" s="9"/>
      <c r="I265" s="14" t="str">
        <f aca="false">IF(OR(G265="",H265=""),"",1-H265/G265)</f>
        <v/>
      </c>
      <c r="J265" s="10" t="str">
        <f aca="false">IF(OR(B265="",C265=""),"",ROUND(MOD(C265-B265,1)*1440,0))</f>
        <v/>
      </c>
      <c r="K265" s="9"/>
      <c r="L265" s="9"/>
      <c r="M265" s="9"/>
      <c r="N265" s="9"/>
    </row>
    <row r="266" customFormat="false" ht="15" hidden="false" customHeight="true" outlineLevel="0" collapsed="false">
      <c r="A266" s="8"/>
      <c r="B266" s="13"/>
      <c r="C266" s="13"/>
      <c r="D266" s="9"/>
      <c r="E266" s="9"/>
      <c r="F266" s="9"/>
      <c r="G266" s="9"/>
      <c r="H266" s="9"/>
      <c r="I266" s="14" t="str">
        <f aca="false">IF(OR(G266="",H266=""),"",1-H266/G266)</f>
        <v/>
      </c>
      <c r="J266" s="10" t="str">
        <f aca="false">IF(OR(B266="",C266=""),"",ROUND(MOD(C266-B266,1)*1440,0))</f>
        <v/>
      </c>
      <c r="K266" s="9"/>
      <c r="L266" s="9"/>
      <c r="M266" s="9"/>
      <c r="N266" s="9"/>
    </row>
    <row r="267" customFormat="false" ht="15" hidden="false" customHeight="true" outlineLevel="0" collapsed="false">
      <c r="A267" s="8"/>
      <c r="B267" s="13"/>
      <c r="C267" s="13"/>
      <c r="D267" s="9"/>
      <c r="E267" s="9"/>
      <c r="F267" s="9"/>
      <c r="G267" s="9"/>
      <c r="H267" s="9"/>
      <c r="I267" s="14" t="str">
        <f aca="false">IF(OR(G267="",H267=""),"",1-H267/G267)</f>
        <v/>
      </c>
      <c r="J267" s="10" t="str">
        <f aca="false">IF(OR(B267="",C267=""),"",ROUND(MOD(C267-B267,1)*1440,0))</f>
        <v/>
      </c>
      <c r="K267" s="9"/>
      <c r="L267" s="9"/>
      <c r="M267" s="9"/>
      <c r="N267" s="9"/>
    </row>
    <row r="268" customFormat="false" ht="15" hidden="false" customHeight="true" outlineLevel="0" collapsed="false">
      <c r="A268" s="8"/>
      <c r="B268" s="13"/>
      <c r="C268" s="13"/>
      <c r="D268" s="9"/>
      <c r="E268" s="9"/>
      <c r="F268" s="9"/>
      <c r="G268" s="9"/>
      <c r="H268" s="9"/>
      <c r="I268" s="14" t="str">
        <f aca="false">IF(OR(G268="",H268=""),"",1-H268/G268)</f>
        <v/>
      </c>
      <c r="J268" s="10" t="str">
        <f aca="false">IF(OR(B268="",C268=""),"",ROUND(MOD(C268-B268,1)*1440,0))</f>
        <v/>
      </c>
      <c r="K268" s="9"/>
      <c r="L268" s="9"/>
      <c r="M268" s="9"/>
      <c r="N268" s="9"/>
    </row>
    <row r="269" customFormat="false" ht="15" hidden="false" customHeight="true" outlineLevel="0" collapsed="false">
      <c r="A269" s="8"/>
      <c r="B269" s="13"/>
      <c r="C269" s="13"/>
      <c r="D269" s="9"/>
      <c r="E269" s="9"/>
      <c r="F269" s="9"/>
      <c r="G269" s="9"/>
      <c r="H269" s="9"/>
      <c r="I269" s="14" t="str">
        <f aca="false">IF(OR(G269="",H269=""),"",1-H269/G269)</f>
        <v/>
      </c>
      <c r="J269" s="10" t="str">
        <f aca="false">IF(OR(B269="",C269=""),"",ROUND(MOD(C269-B269,1)*1440,0))</f>
        <v/>
      </c>
      <c r="K269" s="9"/>
      <c r="L269" s="9"/>
      <c r="M269" s="9"/>
      <c r="N269" s="9"/>
    </row>
    <row r="270" customFormat="false" ht="15" hidden="false" customHeight="true" outlineLevel="0" collapsed="false">
      <c r="A270" s="8"/>
      <c r="B270" s="13"/>
      <c r="C270" s="13"/>
      <c r="D270" s="9"/>
      <c r="E270" s="9"/>
      <c r="F270" s="9"/>
      <c r="G270" s="9"/>
      <c r="H270" s="9"/>
      <c r="I270" s="14" t="str">
        <f aca="false">IF(OR(G270="",H270=""),"",1-H270/G270)</f>
        <v/>
      </c>
      <c r="J270" s="10" t="str">
        <f aca="false">IF(OR(B270="",C270=""),"",ROUND(MOD(C270-B270,1)*1440,0))</f>
        <v/>
      </c>
      <c r="K270" s="9"/>
      <c r="L270" s="9"/>
      <c r="M270" s="9"/>
      <c r="N270" s="9"/>
    </row>
    <row r="271" customFormat="false" ht="15" hidden="false" customHeight="true" outlineLevel="0" collapsed="false">
      <c r="A271" s="8"/>
      <c r="B271" s="13"/>
      <c r="C271" s="13"/>
      <c r="D271" s="9"/>
      <c r="E271" s="9"/>
      <c r="F271" s="9"/>
      <c r="G271" s="9"/>
      <c r="H271" s="9"/>
      <c r="I271" s="14" t="str">
        <f aca="false">IF(OR(G271="",H271=""),"",1-H271/G271)</f>
        <v/>
      </c>
      <c r="J271" s="10" t="str">
        <f aca="false">IF(OR(B271="",C271=""),"",ROUND(MOD(C271-B271,1)*1440,0))</f>
        <v/>
      </c>
      <c r="K271" s="9"/>
      <c r="L271" s="9"/>
      <c r="M271" s="9"/>
      <c r="N271" s="9"/>
    </row>
    <row r="272" customFormat="false" ht="15" hidden="false" customHeight="true" outlineLevel="0" collapsed="false">
      <c r="A272" s="8"/>
      <c r="B272" s="13"/>
      <c r="C272" s="13"/>
      <c r="D272" s="9"/>
      <c r="E272" s="9"/>
      <c r="F272" s="9"/>
      <c r="G272" s="9"/>
      <c r="H272" s="9"/>
      <c r="I272" s="14" t="str">
        <f aca="false">IF(OR(G272="",H272=""),"",1-H272/G272)</f>
        <v/>
      </c>
      <c r="J272" s="10" t="str">
        <f aca="false">IF(OR(B272="",C272=""),"",ROUND(MOD(C272-B272,1)*1440,0))</f>
        <v/>
      </c>
      <c r="K272" s="9"/>
      <c r="L272" s="9"/>
      <c r="M272" s="9"/>
      <c r="N272" s="9"/>
    </row>
    <row r="273" customFormat="false" ht="15" hidden="false" customHeight="true" outlineLevel="0" collapsed="false">
      <c r="A273" s="8"/>
      <c r="B273" s="13"/>
      <c r="C273" s="13"/>
      <c r="D273" s="9"/>
      <c r="E273" s="9"/>
      <c r="F273" s="9"/>
      <c r="G273" s="9"/>
      <c r="H273" s="9"/>
      <c r="I273" s="14" t="str">
        <f aca="false">IF(OR(G273="",H273=""),"",1-H273/G273)</f>
        <v/>
      </c>
      <c r="J273" s="10" t="str">
        <f aca="false">IF(OR(B273="",C273=""),"",ROUND(MOD(C273-B273,1)*1440,0))</f>
        <v/>
      </c>
      <c r="K273" s="9"/>
      <c r="L273" s="9"/>
      <c r="M273" s="9"/>
      <c r="N273" s="9"/>
    </row>
    <row r="274" customFormat="false" ht="15" hidden="false" customHeight="true" outlineLevel="0" collapsed="false">
      <c r="A274" s="8"/>
      <c r="B274" s="13"/>
      <c r="C274" s="13"/>
      <c r="D274" s="9"/>
      <c r="E274" s="9"/>
      <c r="F274" s="9"/>
      <c r="G274" s="9"/>
      <c r="H274" s="9"/>
      <c r="I274" s="14" t="str">
        <f aca="false">IF(OR(G274="",H274=""),"",1-H274/G274)</f>
        <v/>
      </c>
      <c r="J274" s="10" t="str">
        <f aca="false">IF(OR(B274="",C274=""),"",ROUND(MOD(C274-B274,1)*1440,0))</f>
        <v/>
      </c>
      <c r="K274" s="9"/>
      <c r="L274" s="9"/>
      <c r="M274" s="9"/>
      <c r="N274" s="9"/>
    </row>
    <row r="275" customFormat="false" ht="15" hidden="false" customHeight="true" outlineLevel="0" collapsed="false">
      <c r="A275" s="8"/>
      <c r="B275" s="13"/>
      <c r="C275" s="13"/>
      <c r="D275" s="9"/>
      <c r="E275" s="9"/>
      <c r="F275" s="9"/>
      <c r="G275" s="9"/>
      <c r="H275" s="9"/>
      <c r="I275" s="14" t="str">
        <f aca="false">IF(OR(G275="",H275=""),"",1-H275/G275)</f>
        <v/>
      </c>
      <c r="J275" s="10" t="str">
        <f aca="false">IF(OR(B275="",C275=""),"",ROUND(MOD(C275-B275,1)*1440,0))</f>
        <v/>
      </c>
      <c r="K275" s="9"/>
      <c r="L275" s="9"/>
      <c r="M275" s="9"/>
      <c r="N275" s="9"/>
    </row>
    <row r="276" customFormat="false" ht="15" hidden="false" customHeight="true" outlineLevel="0" collapsed="false">
      <c r="A276" s="8"/>
      <c r="B276" s="13"/>
      <c r="C276" s="13"/>
      <c r="D276" s="9"/>
      <c r="E276" s="9"/>
      <c r="F276" s="9"/>
      <c r="G276" s="9"/>
      <c r="H276" s="9"/>
      <c r="I276" s="14" t="str">
        <f aca="false">IF(OR(G276="",H276=""),"",1-H276/G276)</f>
        <v/>
      </c>
      <c r="J276" s="10" t="str">
        <f aca="false">IF(OR(B276="",C276=""),"",ROUND(MOD(C276-B276,1)*1440,0))</f>
        <v/>
      </c>
      <c r="K276" s="9"/>
      <c r="L276" s="9"/>
      <c r="M276" s="9"/>
      <c r="N276" s="9"/>
    </row>
    <row r="277" customFormat="false" ht="15" hidden="false" customHeight="true" outlineLevel="0" collapsed="false">
      <c r="A277" s="8"/>
      <c r="B277" s="13"/>
      <c r="C277" s="13"/>
      <c r="D277" s="9"/>
      <c r="E277" s="9"/>
      <c r="F277" s="9"/>
      <c r="G277" s="9"/>
      <c r="H277" s="9"/>
      <c r="I277" s="14" t="str">
        <f aca="false">IF(OR(G277="",H277=""),"",1-H277/G277)</f>
        <v/>
      </c>
      <c r="J277" s="10" t="str">
        <f aca="false">IF(OR(B277="",C277=""),"",ROUND(MOD(C277-B277,1)*1440,0))</f>
        <v/>
      </c>
      <c r="K277" s="9"/>
      <c r="L277" s="9"/>
      <c r="M277" s="9"/>
      <c r="N277" s="9"/>
    </row>
    <row r="278" customFormat="false" ht="15" hidden="false" customHeight="true" outlineLevel="0" collapsed="false">
      <c r="A278" s="8"/>
      <c r="B278" s="13"/>
      <c r="C278" s="13"/>
      <c r="D278" s="9"/>
      <c r="E278" s="9"/>
      <c r="F278" s="9"/>
      <c r="G278" s="9"/>
      <c r="H278" s="9"/>
      <c r="I278" s="14" t="str">
        <f aca="false">IF(OR(G278="",H278=""),"",1-H278/G278)</f>
        <v/>
      </c>
      <c r="J278" s="10" t="str">
        <f aca="false">IF(OR(B278="",C278=""),"",ROUND(MOD(C278-B278,1)*1440,0))</f>
        <v/>
      </c>
      <c r="K278" s="9"/>
      <c r="L278" s="9"/>
      <c r="M278" s="9"/>
      <c r="N278" s="9"/>
    </row>
    <row r="279" customFormat="false" ht="15" hidden="false" customHeight="true" outlineLevel="0" collapsed="false">
      <c r="A279" s="8"/>
      <c r="B279" s="13"/>
      <c r="C279" s="13"/>
      <c r="D279" s="9"/>
      <c r="E279" s="9"/>
      <c r="F279" s="9"/>
      <c r="G279" s="9"/>
      <c r="H279" s="9"/>
      <c r="I279" s="14" t="str">
        <f aca="false">IF(OR(G279="",H279=""),"",1-H279/G279)</f>
        <v/>
      </c>
      <c r="J279" s="10" t="str">
        <f aca="false">IF(OR(B279="",C279=""),"",ROUND(MOD(C279-B279,1)*1440,0))</f>
        <v/>
      </c>
      <c r="K279" s="9"/>
      <c r="L279" s="9"/>
      <c r="M279" s="9"/>
      <c r="N279" s="9"/>
    </row>
    <row r="280" customFormat="false" ht="15" hidden="false" customHeight="true" outlineLevel="0" collapsed="false">
      <c r="A280" s="8"/>
      <c r="B280" s="13"/>
      <c r="C280" s="13"/>
      <c r="D280" s="9"/>
      <c r="E280" s="9"/>
      <c r="F280" s="9"/>
      <c r="G280" s="9"/>
      <c r="H280" s="9"/>
      <c r="I280" s="14" t="str">
        <f aca="false">IF(OR(G280="",H280=""),"",1-H280/G280)</f>
        <v/>
      </c>
      <c r="J280" s="10" t="str">
        <f aca="false">IF(OR(B280="",C280=""),"",ROUND(MOD(C280-B280,1)*1440,0))</f>
        <v/>
      </c>
      <c r="K280" s="9"/>
      <c r="L280" s="9"/>
      <c r="M280" s="9"/>
      <c r="N280" s="9"/>
    </row>
    <row r="281" customFormat="false" ht="15" hidden="false" customHeight="true" outlineLevel="0" collapsed="false">
      <c r="A281" s="8"/>
      <c r="B281" s="13"/>
      <c r="C281" s="13"/>
      <c r="D281" s="9"/>
      <c r="E281" s="9"/>
      <c r="F281" s="9"/>
      <c r="G281" s="9"/>
      <c r="H281" s="9"/>
      <c r="I281" s="14" t="str">
        <f aca="false">IF(OR(G281="",H281=""),"",1-H281/G281)</f>
        <v/>
      </c>
      <c r="J281" s="10" t="str">
        <f aca="false">IF(OR(B281="",C281=""),"",ROUND(MOD(C281-B281,1)*1440,0))</f>
        <v/>
      </c>
      <c r="K281" s="9"/>
      <c r="L281" s="9"/>
      <c r="M281" s="9"/>
      <c r="N281" s="9"/>
    </row>
    <row r="282" customFormat="false" ht="15" hidden="false" customHeight="true" outlineLevel="0" collapsed="false">
      <c r="A282" s="8"/>
      <c r="B282" s="13"/>
      <c r="C282" s="13"/>
      <c r="D282" s="9"/>
      <c r="E282" s="9"/>
      <c r="F282" s="9"/>
      <c r="G282" s="9"/>
      <c r="H282" s="9"/>
      <c r="I282" s="14" t="str">
        <f aca="false">IF(OR(G282="",H282=""),"",1-H282/G282)</f>
        <v/>
      </c>
      <c r="J282" s="10" t="str">
        <f aca="false">IF(OR(B282="",C282=""),"",ROUND(MOD(C282-B282,1)*1440,0))</f>
        <v/>
      </c>
      <c r="K282" s="9"/>
      <c r="L282" s="9"/>
      <c r="M282" s="9"/>
      <c r="N282" s="9"/>
    </row>
    <row r="283" customFormat="false" ht="15" hidden="false" customHeight="true" outlineLevel="0" collapsed="false">
      <c r="A283" s="8"/>
      <c r="B283" s="13"/>
      <c r="C283" s="13"/>
      <c r="D283" s="9"/>
      <c r="E283" s="9"/>
      <c r="F283" s="9"/>
      <c r="G283" s="9"/>
      <c r="H283" s="9"/>
      <c r="I283" s="14" t="str">
        <f aca="false">IF(OR(G283="",H283=""),"",1-H283/G283)</f>
        <v/>
      </c>
      <c r="J283" s="10" t="str">
        <f aca="false">IF(OR(B283="",C283=""),"",ROUND(MOD(C283-B283,1)*1440,0))</f>
        <v/>
      </c>
      <c r="K283" s="9"/>
      <c r="L283" s="9"/>
      <c r="M283" s="9"/>
      <c r="N283" s="9"/>
    </row>
    <row r="284" customFormat="false" ht="15" hidden="false" customHeight="true" outlineLevel="0" collapsed="false">
      <c r="A284" s="8"/>
      <c r="B284" s="13"/>
      <c r="C284" s="13"/>
      <c r="D284" s="9"/>
      <c r="E284" s="9"/>
      <c r="F284" s="9"/>
      <c r="G284" s="9"/>
      <c r="H284" s="9"/>
      <c r="I284" s="14" t="str">
        <f aca="false">IF(OR(G284="",H284=""),"",1-H284/G284)</f>
        <v/>
      </c>
      <c r="J284" s="10" t="str">
        <f aca="false">IF(OR(B284="",C284=""),"",ROUND(MOD(C284-B284,1)*1440,0))</f>
        <v/>
      </c>
      <c r="K284" s="9"/>
      <c r="L284" s="9"/>
      <c r="M284" s="9"/>
      <c r="N284" s="9"/>
    </row>
    <row r="285" customFormat="false" ht="15" hidden="false" customHeight="true" outlineLevel="0" collapsed="false">
      <c r="A285" s="8"/>
      <c r="B285" s="13"/>
      <c r="C285" s="13"/>
      <c r="D285" s="9"/>
      <c r="E285" s="9"/>
      <c r="F285" s="9"/>
      <c r="G285" s="9"/>
      <c r="H285" s="9"/>
      <c r="I285" s="14" t="str">
        <f aca="false">IF(OR(G285="",H285=""),"",1-H285/G285)</f>
        <v/>
      </c>
      <c r="J285" s="10" t="str">
        <f aca="false">IF(OR(B285="",C285=""),"",ROUND(MOD(C285-B285,1)*1440,0))</f>
        <v/>
      </c>
      <c r="K285" s="9"/>
      <c r="L285" s="9"/>
      <c r="M285" s="9"/>
      <c r="N285" s="9"/>
    </row>
    <row r="286" customFormat="false" ht="15" hidden="false" customHeight="true" outlineLevel="0" collapsed="false">
      <c r="A286" s="8"/>
      <c r="B286" s="13"/>
      <c r="C286" s="13"/>
      <c r="D286" s="9"/>
      <c r="E286" s="9"/>
      <c r="F286" s="9"/>
      <c r="G286" s="9"/>
      <c r="H286" s="9"/>
      <c r="I286" s="14" t="str">
        <f aca="false">IF(OR(G286="",H286=""),"",1-H286/G286)</f>
        <v/>
      </c>
      <c r="J286" s="10" t="str">
        <f aca="false">IF(OR(B286="",C286=""),"",ROUND(MOD(C286-B286,1)*1440,0))</f>
        <v/>
      </c>
      <c r="K286" s="9"/>
      <c r="L286" s="9"/>
      <c r="M286" s="9"/>
      <c r="N286" s="9"/>
    </row>
    <row r="287" customFormat="false" ht="15" hidden="false" customHeight="true" outlineLevel="0" collapsed="false">
      <c r="A287" s="8"/>
      <c r="B287" s="13"/>
      <c r="C287" s="13"/>
      <c r="D287" s="9"/>
      <c r="E287" s="9"/>
      <c r="F287" s="9"/>
      <c r="G287" s="9"/>
      <c r="H287" s="9"/>
      <c r="I287" s="14" t="str">
        <f aca="false">IF(OR(G287="",H287=""),"",1-H287/G287)</f>
        <v/>
      </c>
      <c r="J287" s="10" t="str">
        <f aca="false">IF(OR(B287="",C287=""),"",ROUND(MOD(C287-B287,1)*1440,0))</f>
        <v/>
      </c>
      <c r="K287" s="9"/>
      <c r="L287" s="9"/>
      <c r="M287" s="9"/>
      <c r="N287" s="9"/>
    </row>
    <row r="288" customFormat="false" ht="15" hidden="false" customHeight="true" outlineLevel="0" collapsed="false">
      <c r="A288" s="8"/>
      <c r="B288" s="13"/>
      <c r="C288" s="13"/>
      <c r="D288" s="9"/>
      <c r="E288" s="9"/>
      <c r="F288" s="9"/>
      <c r="G288" s="9"/>
      <c r="H288" s="9"/>
      <c r="I288" s="14" t="str">
        <f aca="false">IF(OR(G288="",H288=""),"",1-H288/G288)</f>
        <v/>
      </c>
      <c r="J288" s="10" t="str">
        <f aca="false">IF(OR(B288="",C288=""),"",ROUND(MOD(C288-B288,1)*1440,0))</f>
        <v/>
      </c>
      <c r="K288" s="9"/>
      <c r="L288" s="9"/>
      <c r="M288" s="9"/>
      <c r="N288" s="9"/>
    </row>
    <row r="289" customFormat="false" ht="15" hidden="false" customHeight="true" outlineLevel="0" collapsed="false">
      <c r="A289" s="8"/>
      <c r="B289" s="13"/>
      <c r="C289" s="13"/>
      <c r="D289" s="9"/>
      <c r="E289" s="9"/>
      <c r="F289" s="9"/>
      <c r="G289" s="9"/>
      <c r="H289" s="9"/>
      <c r="I289" s="14" t="str">
        <f aca="false">IF(OR(G289="",H289=""),"",1-H289/G289)</f>
        <v/>
      </c>
      <c r="J289" s="10" t="str">
        <f aca="false">IF(OR(B289="",C289=""),"",ROUND(MOD(C289-B289,1)*1440,0))</f>
        <v/>
      </c>
      <c r="K289" s="9"/>
      <c r="L289" s="9"/>
      <c r="M289" s="9"/>
      <c r="N289" s="9"/>
    </row>
    <row r="290" customFormat="false" ht="15" hidden="false" customHeight="true" outlineLevel="0" collapsed="false">
      <c r="A290" s="8"/>
      <c r="B290" s="13"/>
      <c r="C290" s="13"/>
      <c r="D290" s="9"/>
      <c r="E290" s="9"/>
      <c r="F290" s="9"/>
      <c r="G290" s="9"/>
      <c r="H290" s="9"/>
      <c r="I290" s="14" t="str">
        <f aca="false">IF(OR(G290="",H290=""),"",1-H290/G290)</f>
        <v/>
      </c>
      <c r="J290" s="10" t="str">
        <f aca="false">IF(OR(B290="",C290=""),"",ROUND(MOD(C290-B290,1)*1440,0))</f>
        <v/>
      </c>
      <c r="K290" s="9"/>
      <c r="L290" s="9"/>
      <c r="M290" s="9"/>
      <c r="N290" s="9"/>
    </row>
    <row r="291" customFormat="false" ht="15" hidden="false" customHeight="true" outlineLevel="0" collapsed="false">
      <c r="A291" s="8"/>
      <c r="B291" s="13"/>
      <c r="C291" s="13"/>
      <c r="D291" s="9"/>
      <c r="E291" s="9"/>
      <c r="F291" s="9"/>
      <c r="G291" s="9"/>
      <c r="H291" s="9"/>
      <c r="I291" s="14" t="str">
        <f aca="false">IF(OR(G291="",H291=""),"",1-H291/G291)</f>
        <v/>
      </c>
      <c r="J291" s="10" t="str">
        <f aca="false">IF(OR(B291="",C291=""),"",ROUND(MOD(C291-B291,1)*1440,0))</f>
        <v/>
      </c>
      <c r="K291" s="9"/>
      <c r="L291" s="9"/>
      <c r="M291" s="9"/>
      <c r="N291" s="9"/>
    </row>
    <row r="292" customFormat="false" ht="15" hidden="false" customHeight="true" outlineLevel="0" collapsed="false">
      <c r="A292" s="8"/>
      <c r="B292" s="13"/>
      <c r="C292" s="13"/>
      <c r="D292" s="9"/>
      <c r="E292" s="9"/>
      <c r="F292" s="9"/>
      <c r="G292" s="9"/>
      <c r="H292" s="9"/>
      <c r="I292" s="14" t="str">
        <f aca="false">IF(OR(G292="",H292=""),"",1-H292/G292)</f>
        <v/>
      </c>
      <c r="J292" s="10" t="str">
        <f aca="false">IF(OR(B292="",C292=""),"",ROUND(MOD(C292-B292,1)*1440,0))</f>
        <v/>
      </c>
      <c r="K292" s="9"/>
      <c r="L292" s="9"/>
      <c r="M292" s="9"/>
      <c r="N292" s="9"/>
    </row>
    <row r="293" customFormat="false" ht="15" hidden="false" customHeight="true" outlineLevel="0" collapsed="false">
      <c r="A293" s="8"/>
      <c r="B293" s="13"/>
      <c r="C293" s="13"/>
      <c r="D293" s="9"/>
      <c r="E293" s="9"/>
      <c r="F293" s="9"/>
      <c r="G293" s="9"/>
      <c r="H293" s="9"/>
      <c r="I293" s="14" t="str">
        <f aca="false">IF(OR(G293="",H293=""),"",1-H293/G293)</f>
        <v/>
      </c>
      <c r="J293" s="10" t="str">
        <f aca="false">IF(OR(B293="",C293=""),"",ROUND(MOD(C293-B293,1)*1440,0))</f>
        <v/>
      </c>
      <c r="K293" s="9"/>
      <c r="L293" s="9"/>
      <c r="M293" s="9"/>
      <c r="N293" s="9"/>
    </row>
    <row r="294" customFormat="false" ht="15" hidden="false" customHeight="true" outlineLevel="0" collapsed="false">
      <c r="A294" s="8"/>
      <c r="B294" s="13"/>
      <c r="C294" s="13"/>
      <c r="D294" s="9"/>
      <c r="E294" s="9"/>
      <c r="F294" s="9"/>
      <c r="G294" s="9"/>
      <c r="H294" s="9"/>
      <c r="I294" s="14" t="str">
        <f aca="false">IF(OR(G294="",H294=""),"",1-H294/G294)</f>
        <v/>
      </c>
      <c r="J294" s="10" t="str">
        <f aca="false">IF(OR(B294="",C294=""),"",ROUND(MOD(C294-B294,1)*1440,0))</f>
        <v/>
      </c>
      <c r="K294" s="9"/>
      <c r="L294" s="9"/>
      <c r="M294" s="9"/>
      <c r="N294" s="9"/>
    </row>
    <row r="295" customFormat="false" ht="15" hidden="false" customHeight="true" outlineLevel="0" collapsed="false">
      <c r="A295" s="8"/>
      <c r="B295" s="13"/>
      <c r="C295" s="13"/>
      <c r="D295" s="9"/>
      <c r="E295" s="9"/>
      <c r="F295" s="9"/>
      <c r="G295" s="9"/>
      <c r="H295" s="9"/>
      <c r="I295" s="14" t="str">
        <f aca="false">IF(OR(G295="",H295=""),"",1-H295/G295)</f>
        <v/>
      </c>
      <c r="J295" s="10" t="str">
        <f aca="false">IF(OR(B295="",C295=""),"",ROUND(MOD(C295-B295,1)*1440,0))</f>
        <v/>
      </c>
      <c r="K295" s="9"/>
      <c r="L295" s="9"/>
      <c r="M295" s="9"/>
      <c r="N295" s="9"/>
    </row>
    <row r="296" customFormat="false" ht="15" hidden="false" customHeight="true" outlineLevel="0" collapsed="false">
      <c r="A296" s="8"/>
      <c r="B296" s="13"/>
      <c r="C296" s="13"/>
      <c r="D296" s="9"/>
      <c r="E296" s="9"/>
      <c r="F296" s="9"/>
      <c r="G296" s="9"/>
      <c r="H296" s="9"/>
      <c r="I296" s="14" t="str">
        <f aca="false">IF(OR(G296="",H296=""),"",1-H296/G296)</f>
        <v/>
      </c>
      <c r="J296" s="10" t="str">
        <f aca="false">IF(OR(B296="",C296=""),"",ROUND(MOD(C296-B296,1)*1440,0))</f>
        <v/>
      </c>
      <c r="K296" s="9"/>
      <c r="L296" s="9"/>
      <c r="M296" s="9"/>
      <c r="N296" s="9"/>
    </row>
    <row r="297" customFormat="false" ht="15" hidden="false" customHeight="true" outlineLevel="0" collapsed="false">
      <c r="A297" s="8"/>
      <c r="B297" s="13"/>
      <c r="C297" s="13"/>
      <c r="D297" s="9"/>
      <c r="E297" s="9"/>
      <c r="F297" s="9"/>
      <c r="G297" s="9"/>
      <c r="H297" s="9"/>
      <c r="I297" s="14" t="str">
        <f aca="false">IF(OR(G297="",H297=""),"",1-H297/G297)</f>
        <v/>
      </c>
      <c r="J297" s="10" t="str">
        <f aca="false">IF(OR(B297="",C297=""),"",ROUND(MOD(C297-B297,1)*1440,0))</f>
        <v/>
      </c>
      <c r="K297" s="9"/>
      <c r="L297" s="9"/>
      <c r="M297" s="9"/>
      <c r="N297" s="9"/>
    </row>
    <row r="298" customFormat="false" ht="15" hidden="false" customHeight="true" outlineLevel="0" collapsed="false">
      <c r="A298" s="8"/>
      <c r="B298" s="13"/>
      <c r="C298" s="13"/>
      <c r="D298" s="9"/>
      <c r="E298" s="9"/>
      <c r="F298" s="9"/>
      <c r="G298" s="9"/>
      <c r="H298" s="9"/>
      <c r="I298" s="14" t="str">
        <f aca="false">IF(OR(G298="",H298=""),"",1-H298/G298)</f>
        <v/>
      </c>
      <c r="J298" s="10" t="str">
        <f aca="false">IF(OR(B298="",C298=""),"",ROUND(MOD(C298-B298,1)*1440,0))</f>
        <v/>
      </c>
      <c r="K298" s="9"/>
      <c r="L298" s="9"/>
      <c r="M298" s="9"/>
      <c r="N298" s="9"/>
    </row>
    <row r="299" customFormat="false" ht="15" hidden="false" customHeight="true" outlineLevel="0" collapsed="false">
      <c r="A299" s="8"/>
      <c r="B299" s="13"/>
      <c r="C299" s="13"/>
      <c r="D299" s="9"/>
      <c r="E299" s="9"/>
      <c r="F299" s="9"/>
      <c r="G299" s="9"/>
      <c r="H299" s="9"/>
      <c r="I299" s="14" t="str">
        <f aca="false">IF(OR(G299="",H299=""),"",1-H299/G299)</f>
        <v/>
      </c>
      <c r="J299" s="10" t="str">
        <f aca="false">IF(OR(B299="",C299=""),"",ROUND(MOD(C299-B299,1)*1440,0))</f>
        <v/>
      </c>
      <c r="K299" s="9"/>
      <c r="L299" s="9"/>
      <c r="M299" s="9"/>
      <c r="N299" s="9"/>
    </row>
    <row r="300" customFormat="false" ht="15" hidden="false" customHeight="true" outlineLevel="0" collapsed="false">
      <c r="A300" s="8"/>
      <c r="B300" s="13"/>
      <c r="C300" s="13"/>
      <c r="D300" s="9"/>
      <c r="E300" s="9"/>
      <c r="F300" s="9"/>
      <c r="G300" s="9"/>
      <c r="H300" s="9"/>
      <c r="I300" s="14" t="str">
        <f aca="false">IF(OR(G300="",H300=""),"",1-H300/G300)</f>
        <v/>
      </c>
      <c r="J300" s="10" t="str">
        <f aca="false">IF(OR(B300="",C300=""),"",ROUND(MOD(C300-B300,1)*1440,0))</f>
        <v/>
      </c>
      <c r="K300" s="9"/>
      <c r="L300" s="9"/>
      <c r="M300" s="9"/>
      <c r="N300" s="9"/>
    </row>
    <row r="301" customFormat="false" ht="15" hidden="false" customHeight="true" outlineLevel="0" collapsed="false">
      <c r="A301" s="8"/>
      <c r="B301" s="13"/>
      <c r="C301" s="13"/>
      <c r="D301" s="9"/>
      <c r="E301" s="9"/>
      <c r="F301" s="9"/>
      <c r="G301" s="9"/>
      <c r="H301" s="9"/>
      <c r="I301" s="14" t="str">
        <f aca="false">IF(OR(G301="",H301=""),"",1-H301/G301)</f>
        <v/>
      </c>
      <c r="J301" s="10" t="str">
        <f aca="false">IF(OR(B301="",C301=""),"",ROUND(MOD(C301-B301,1)*1440,0))</f>
        <v/>
      </c>
      <c r="K301" s="9"/>
      <c r="L301" s="9"/>
      <c r="M301" s="9"/>
      <c r="N301" s="9"/>
    </row>
    <row r="302" customFormat="false" ht="15" hidden="false" customHeight="true" outlineLevel="0" collapsed="false">
      <c r="A302" s="8"/>
      <c r="B302" s="13"/>
      <c r="C302" s="13"/>
      <c r="D302" s="9"/>
      <c r="E302" s="9"/>
      <c r="F302" s="9"/>
      <c r="G302" s="9"/>
      <c r="H302" s="9"/>
      <c r="I302" s="14" t="str">
        <f aca="false">IF(OR(G302="",H302=""),"",1-H302/G302)</f>
        <v/>
      </c>
      <c r="J302" s="10" t="str">
        <f aca="false">IF(OR(B302="",C302=""),"",ROUND(MOD(C302-B302,1)*1440,0))</f>
        <v/>
      </c>
      <c r="K302" s="9"/>
      <c r="L302" s="9"/>
      <c r="M302" s="9"/>
      <c r="N302" s="9"/>
    </row>
    <row r="303" customFormat="false" ht="15" hidden="false" customHeight="true" outlineLevel="0" collapsed="false">
      <c r="A303" s="8"/>
      <c r="B303" s="13"/>
      <c r="C303" s="13"/>
      <c r="D303" s="9"/>
      <c r="E303" s="9"/>
      <c r="F303" s="9"/>
      <c r="G303" s="9"/>
      <c r="H303" s="9"/>
      <c r="I303" s="14" t="str">
        <f aca="false">IF(OR(G303="",H303=""),"",1-H303/G303)</f>
        <v/>
      </c>
      <c r="J303" s="10" t="str">
        <f aca="false">IF(OR(B303="",C303=""),"",ROUND(MOD(C303-B303,1)*1440,0))</f>
        <v/>
      </c>
      <c r="K303" s="9"/>
      <c r="L303" s="9"/>
      <c r="M303" s="9"/>
      <c r="N303" s="9"/>
    </row>
    <row r="304" customFormat="false" ht="15" hidden="false" customHeight="true" outlineLevel="0" collapsed="false">
      <c r="A304" s="8"/>
      <c r="B304" s="13"/>
      <c r="C304" s="13"/>
      <c r="D304" s="9"/>
      <c r="E304" s="9"/>
      <c r="F304" s="9"/>
      <c r="G304" s="9"/>
      <c r="H304" s="9"/>
      <c r="I304" s="14" t="str">
        <f aca="false">IF(OR(G304="",H304=""),"",1-H304/G304)</f>
        <v/>
      </c>
      <c r="J304" s="10" t="str">
        <f aca="false">IF(OR(B304="",C304=""),"",ROUND(MOD(C304-B304,1)*1440,0))</f>
        <v/>
      </c>
      <c r="K304" s="9"/>
      <c r="L304" s="9"/>
      <c r="M304" s="9"/>
      <c r="N304" s="9"/>
    </row>
    <row r="305" customFormat="false" ht="15" hidden="false" customHeight="true" outlineLevel="0" collapsed="false">
      <c r="A305" s="8"/>
      <c r="B305" s="13"/>
      <c r="C305" s="13"/>
      <c r="D305" s="9"/>
      <c r="E305" s="9"/>
      <c r="F305" s="9"/>
      <c r="G305" s="9"/>
      <c r="H305" s="9"/>
      <c r="I305" s="14" t="str">
        <f aca="false">IF(OR(G305="",H305=""),"",1-H305/G305)</f>
        <v/>
      </c>
      <c r="J305" s="10" t="str">
        <f aca="false">IF(OR(B305="",C305=""),"",ROUND(MOD(C305-B305,1)*1440,0))</f>
        <v/>
      </c>
      <c r="K305" s="9"/>
      <c r="L305" s="9"/>
      <c r="M305" s="9"/>
      <c r="N305" s="9"/>
    </row>
    <row r="306" customFormat="false" ht="15" hidden="false" customHeight="true" outlineLevel="0" collapsed="false">
      <c r="A306" s="8"/>
      <c r="B306" s="13"/>
      <c r="C306" s="13"/>
      <c r="D306" s="9"/>
      <c r="E306" s="9"/>
      <c r="F306" s="9"/>
      <c r="G306" s="9"/>
      <c r="H306" s="9"/>
      <c r="I306" s="14" t="str">
        <f aca="false">IF(OR(G306="",H306=""),"",1-H306/G306)</f>
        <v/>
      </c>
      <c r="J306" s="10" t="str">
        <f aca="false">IF(OR(B306="",C306=""),"",ROUND(MOD(C306-B306,1)*1440,0))</f>
        <v/>
      </c>
      <c r="K306" s="9"/>
      <c r="L306" s="9"/>
      <c r="M306" s="9"/>
      <c r="N306" s="9"/>
    </row>
    <row r="307" customFormat="false" ht="15" hidden="false" customHeight="true" outlineLevel="0" collapsed="false">
      <c r="A307" s="8"/>
      <c r="B307" s="13"/>
      <c r="C307" s="13"/>
      <c r="D307" s="9"/>
      <c r="E307" s="9"/>
      <c r="F307" s="9"/>
      <c r="G307" s="9"/>
      <c r="H307" s="9"/>
      <c r="I307" s="14" t="str">
        <f aca="false">IF(OR(G307="",H307=""),"",1-H307/G307)</f>
        <v/>
      </c>
      <c r="J307" s="10" t="str">
        <f aca="false">IF(OR(B307="",C307=""),"",ROUND(MOD(C307-B307,1)*1440,0))</f>
        <v/>
      </c>
      <c r="K307" s="9"/>
      <c r="L307" s="9"/>
      <c r="M307" s="9"/>
      <c r="N307" s="9"/>
    </row>
    <row r="308" customFormat="false" ht="15" hidden="false" customHeight="true" outlineLevel="0" collapsed="false">
      <c r="A308" s="8"/>
      <c r="B308" s="13"/>
      <c r="C308" s="13"/>
      <c r="D308" s="9"/>
      <c r="E308" s="9"/>
      <c r="F308" s="9"/>
      <c r="G308" s="9"/>
      <c r="H308" s="9"/>
      <c r="I308" s="14" t="str">
        <f aca="false">IF(OR(G308="",H308=""),"",1-H308/G308)</f>
        <v/>
      </c>
      <c r="J308" s="10" t="str">
        <f aca="false">IF(OR(B308="",C308=""),"",ROUND(MOD(C308-B308,1)*1440,0))</f>
        <v/>
      </c>
      <c r="K308" s="9"/>
      <c r="L308" s="9"/>
      <c r="M308" s="9"/>
      <c r="N308" s="9"/>
    </row>
    <row r="309" customFormat="false" ht="15" hidden="false" customHeight="true" outlineLevel="0" collapsed="false">
      <c r="A309" s="8"/>
      <c r="B309" s="13"/>
      <c r="C309" s="13"/>
      <c r="D309" s="9"/>
      <c r="E309" s="9"/>
      <c r="F309" s="9"/>
      <c r="G309" s="9"/>
      <c r="H309" s="9"/>
      <c r="I309" s="14" t="str">
        <f aca="false">IF(OR(G309="",H309=""),"",1-H309/G309)</f>
        <v/>
      </c>
      <c r="J309" s="10" t="str">
        <f aca="false">IF(OR(B309="",C309=""),"",ROUND(MOD(C309-B309,1)*1440,0))</f>
        <v/>
      </c>
      <c r="K309" s="9"/>
      <c r="L309" s="9"/>
      <c r="M309" s="9"/>
      <c r="N309" s="9"/>
    </row>
    <row r="310" customFormat="false" ht="15" hidden="false" customHeight="true" outlineLevel="0" collapsed="false">
      <c r="A310" s="8"/>
      <c r="B310" s="13"/>
      <c r="C310" s="13"/>
      <c r="D310" s="9"/>
      <c r="E310" s="9"/>
      <c r="F310" s="9"/>
      <c r="G310" s="9"/>
      <c r="H310" s="9"/>
      <c r="I310" s="14" t="str">
        <f aca="false">IF(OR(G310="",H310=""),"",1-H310/G310)</f>
        <v/>
      </c>
      <c r="J310" s="10" t="str">
        <f aca="false">IF(OR(B310="",C310=""),"",ROUND(MOD(C310-B310,1)*1440,0))</f>
        <v/>
      </c>
      <c r="K310" s="9"/>
      <c r="L310" s="9"/>
      <c r="M310" s="9"/>
      <c r="N310" s="9"/>
    </row>
    <row r="311" customFormat="false" ht="15" hidden="false" customHeight="true" outlineLevel="0" collapsed="false">
      <c r="A311" s="8"/>
      <c r="B311" s="13"/>
      <c r="C311" s="13"/>
      <c r="D311" s="9"/>
      <c r="E311" s="9"/>
      <c r="F311" s="9"/>
      <c r="G311" s="9"/>
      <c r="H311" s="9"/>
      <c r="I311" s="14" t="str">
        <f aca="false">IF(OR(G311="",H311=""),"",1-H311/G311)</f>
        <v/>
      </c>
      <c r="J311" s="10" t="str">
        <f aca="false">IF(OR(B311="",C311=""),"",ROUND(MOD(C311-B311,1)*1440,0))</f>
        <v/>
      </c>
      <c r="K311" s="9"/>
      <c r="L311" s="9"/>
      <c r="M311" s="9"/>
      <c r="N311" s="9"/>
    </row>
    <row r="312" customFormat="false" ht="15" hidden="false" customHeight="true" outlineLevel="0" collapsed="false">
      <c r="A312" s="8"/>
      <c r="B312" s="13"/>
      <c r="C312" s="13"/>
      <c r="D312" s="9"/>
      <c r="E312" s="9"/>
      <c r="F312" s="9"/>
      <c r="G312" s="9"/>
      <c r="H312" s="9"/>
      <c r="I312" s="14" t="str">
        <f aca="false">IF(OR(G312="",H312=""),"",1-H312/G312)</f>
        <v/>
      </c>
      <c r="J312" s="10" t="str">
        <f aca="false">IF(OR(B312="",C312=""),"",ROUND(MOD(C312-B312,1)*1440,0))</f>
        <v/>
      </c>
      <c r="K312" s="9"/>
      <c r="L312" s="9"/>
      <c r="M312" s="9"/>
      <c r="N312" s="9"/>
    </row>
    <row r="313" customFormat="false" ht="15" hidden="false" customHeight="true" outlineLevel="0" collapsed="false">
      <c r="A313" s="8"/>
      <c r="B313" s="13"/>
      <c r="C313" s="13"/>
      <c r="D313" s="9"/>
      <c r="E313" s="9"/>
      <c r="F313" s="9"/>
      <c r="G313" s="9"/>
      <c r="H313" s="9"/>
      <c r="I313" s="14" t="str">
        <f aca="false">IF(OR(G313="",H313=""),"",1-H313/G313)</f>
        <v/>
      </c>
      <c r="J313" s="10" t="str">
        <f aca="false">IF(OR(B313="",C313=""),"",ROUND(MOD(C313-B313,1)*1440,0))</f>
        <v/>
      </c>
      <c r="K313" s="9"/>
      <c r="L313" s="9"/>
      <c r="M313" s="9"/>
      <c r="N313" s="9"/>
    </row>
    <row r="314" customFormat="false" ht="15" hidden="false" customHeight="true" outlineLevel="0" collapsed="false">
      <c r="A314" s="8"/>
      <c r="B314" s="13"/>
      <c r="C314" s="13"/>
      <c r="D314" s="9"/>
      <c r="E314" s="9"/>
      <c r="F314" s="9"/>
      <c r="G314" s="9"/>
      <c r="H314" s="9"/>
      <c r="I314" s="14" t="str">
        <f aca="false">IF(OR(G314="",H314=""),"",1-H314/G314)</f>
        <v/>
      </c>
      <c r="J314" s="10" t="str">
        <f aca="false">IF(OR(B314="",C314=""),"",ROUND(MOD(C314-B314,1)*1440,0))</f>
        <v/>
      </c>
      <c r="K314" s="9"/>
      <c r="L314" s="9"/>
      <c r="M314" s="9"/>
      <c r="N314" s="9"/>
    </row>
    <row r="315" customFormat="false" ht="15" hidden="false" customHeight="true" outlineLevel="0" collapsed="false">
      <c r="A315" s="8"/>
      <c r="B315" s="13"/>
      <c r="C315" s="13"/>
      <c r="D315" s="9"/>
      <c r="E315" s="9"/>
      <c r="F315" s="9"/>
      <c r="G315" s="9"/>
      <c r="H315" s="9"/>
      <c r="I315" s="14" t="str">
        <f aca="false">IF(OR(G315="",H315=""),"",1-H315/G315)</f>
        <v/>
      </c>
      <c r="J315" s="10" t="str">
        <f aca="false">IF(OR(B315="",C315=""),"",ROUND(MOD(C315-B315,1)*1440,0))</f>
        <v/>
      </c>
      <c r="K315" s="9"/>
      <c r="L315" s="9"/>
      <c r="M315" s="9"/>
      <c r="N315" s="9"/>
    </row>
    <row r="316" customFormat="false" ht="15" hidden="false" customHeight="true" outlineLevel="0" collapsed="false">
      <c r="A316" s="8"/>
      <c r="B316" s="13"/>
      <c r="C316" s="13"/>
      <c r="D316" s="9"/>
      <c r="E316" s="9"/>
      <c r="F316" s="9"/>
      <c r="G316" s="9"/>
      <c r="H316" s="9"/>
      <c r="I316" s="14" t="str">
        <f aca="false">IF(OR(G316="",H316=""),"",1-H316/G316)</f>
        <v/>
      </c>
      <c r="J316" s="10" t="str">
        <f aca="false">IF(OR(B316="",C316=""),"",ROUND(MOD(C316-B316,1)*1440,0))</f>
        <v/>
      </c>
      <c r="K316" s="9"/>
      <c r="L316" s="9"/>
      <c r="M316" s="9"/>
      <c r="N316" s="9"/>
    </row>
    <row r="317" customFormat="false" ht="15" hidden="false" customHeight="true" outlineLevel="0" collapsed="false">
      <c r="A317" s="8"/>
      <c r="B317" s="13"/>
      <c r="C317" s="13"/>
      <c r="D317" s="9"/>
      <c r="E317" s="9"/>
      <c r="F317" s="9"/>
      <c r="G317" s="9"/>
      <c r="H317" s="9"/>
      <c r="I317" s="14" t="str">
        <f aca="false">IF(OR(G317="",H317=""),"",1-H317/G317)</f>
        <v/>
      </c>
      <c r="J317" s="10" t="str">
        <f aca="false">IF(OR(B317="",C317=""),"",ROUND(MOD(C317-B317,1)*1440,0))</f>
        <v/>
      </c>
      <c r="K317" s="9"/>
      <c r="L317" s="9"/>
      <c r="M317" s="9"/>
      <c r="N317" s="9"/>
    </row>
    <row r="318" customFormat="false" ht="15" hidden="false" customHeight="true" outlineLevel="0" collapsed="false">
      <c r="A318" s="8"/>
      <c r="B318" s="13"/>
      <c r="C318" s="13"/>
      <c r="D318" s="9"/>
      <c r="E318" s="9"/>
      <c r="F318" s="9"/>
      <c r="G318" s="9"/>
      <c r="H318" s="9"/>
      <c r="I318" s="14" t="str">
        <f aca="false">IF(OR(G318="",H318=""),"",1-H318/G318)</f>
        <v/>
      </c>
      <c r="J318" s="10" t="str">
        <f aca="false">IF(OR(B318="",C318=""),"",ROUND(MOD(C318-B318,1)*1440,0))</f>
        <v/>
      </c>
      <c r="K318" s="9"/>
      <c r="L318" s="9"/>
      <c r="M318" s="9"/>
      <c r="N318" s="9"/>
    </row>
    <row r="319" customFormat="false" ht="15" hidden="false" customHeight="true" outlineLevel="0" collapsed="false">
      <c r="A319" s="8"/>
      <c r="B319" s="13"/>
      <c r="C319" s="13"/>
      <c r="D319" s="9"/>
      <c r="E319" s="9"/>
      <c r="F319" s="9"/>
      <c r="G319" s="9"/>
      <c r="H319" s="9"/>
      <c r="I319" s="14" t="str">
        <f aca="false">IF(OR(G319="",H319=""),"",1-H319/G319)</f>
        <v/>
      </c>
      <c r="J319" s="10" t="str">
        <f aca="false">IF(OR(B319="",C319=""),"",ROUND(MOD(C319-B319,1)*1440,0))</f>
        <v/>
      </c>
      <c r="K319" s="9"/>
      <c r="L319" s="9"/>
      <c r="M319" s="9"/>
      <c r="N319" s="9"/>
    </row>
    <row r="320" customFormat="false" ht="15" hidden="false" customHeight="true" outlineLevel="0" collapsed="false">
      <c r="A320" s="8"/>
      <c r="B320" s="13"/>
      <c r="C320" s="13"/>
      <c r="D320" s="9"/>
      <c r="E320" s="9"/>
      <c r="F320" s="9"/>
      <c r="G320" s="9"/>
      <c r="H320" s="9"/>
      <c r="I320" s="14" t="str">
        <f aca="false">IF(OR(G320="",H320=""),"",1-H320/G320)</f>
        <v/>
      </c>
      <c r="J320" s="10" t="str">
        <f aca="false">IF(OR(B320="",C320=""),"",ROUND(MOD(C320-B320,1)*1440,0))</f>
        <v/>
      </c>
      <c r="K320" s="9"/>
      <c r="L320" s="9"/>
      <c r="M320" s="9"/>
      <c r="N320" s="9"/>
    </row>
    <row r="321" customFormat="false" ht="15" hidden="false" customHeight="true" outlineLevel="0" collapsed="false">
      <c r="A321" s="8"/>
      <c r="B321" s="13"/>
      <c r="C321" s="13"/>
      <c r="D321" s="9"/>
      <c r="E321" s="9"/>
      <c r="F321" s="9"/>
      <c r="G321" s="9"/>
      <c r="H321" s="9"/>
      <c r="I321" s="14" t="str">
        <f aca="false">IF(OR(G321="",H321=""),"",1-H321/G321)</f>
        <v/>
      </c>
      <c r="J321" s="10" t="str">
        <f aca="false">IF(OR(B321="",C321=""),"",ROUND(MOD(C321-B321,1)*1440,0))</f>
        <v/>
      </c>
      <c r="K321" s="9"/>
      <c r="L321" s="9"/>
      <c r="M321" s="9"/>
      <c r="N321" s="9"/>
    </row>
    <row r="322" customFormat="false" ht="15" hidden="false" customHeight="true" outlineLevel="0" collapsed="false">
      <c r="A322" s="8"/>
      <c r="B322" s="13"/>
      <c r="C322" s="13"/>
      <c r="D322" s="9"/>
      <c r="E322" s="9"/>
      <c r="F322" s="9"/>
      <c r="G322" s="9"/>
      <c r="H322" s="9"/>
      <c r="I322" s="14" t="str">
        <f aca="false">IF(OR(G322="",H322=""),"",1-H322/G322)</f>
        <v/>
      </c>
      <c r="J322" s="10" t="str">
        <f aca="false">IF(OR(B322="",C322=""),"",ROUND(MOD(C322-B322,1)*1440,0))</f>
        <v/>
      </c>
      <c r="K322" s="9"/>
      <c r="L322" s="9"/>
      <c r="M322" s="9"/>
      <c r="N322" s="9"/>
    </row>
    <row r="323" customFormat="false" ht="15" hidden="false" customHeight="true" outlineLevel="0" collapsed="false">
      <c r="A323" s="8"/>
      <c r="B323" s="13"/>
      <c r="C323" s="13"/>
      <c r="D323" s="9"/>
      <c r="E323" s="9"/>
      <c r="F323" s="9"/>
      <c r="G323" s="9"/>
      <c r="H323" s="9"/>
      <c r="I323" s="14" t="str">
        <f aca="false">IF(OR(G323="",H323=""),"",1-H323/G323)</f>
        <v/>
      </c>
      <c r="J323" s="10" t="str">
        <f aca="false">IF(OR(B323="",C323=""),"",ROUND(MOD(C323-B323,1)*1440,0))</f>
        <v/>
      </c>
      <c r="K323" s="9"/>
      <c r="L323" s="9"/>
      <c r="M323" s="9"/>
      <c r="N323" s="9"/>
    </row>
    <row r="324" customFormat="false" ht="15" hidden="false" customHeight="true" outlineLevel="0" collapsed="false">
      <c r="A324" s="8"/>
      <c r="B324" s="13"/>
      <c r="C324" s="13"/>
      <c r="D324" s="9"/>
      <c r="E324" s="9"/>
      <c r="F324" s="9"/>
      <c r="G324" s="9"/>
      <c r="H324" s="9"/>
      <c r="I324" s="14" t="str">
        <f aca="false">IF(OR(G324="",H324=""),"",1-H324/G324)</f>
        <v/>
      </c>
      <c r="J324" s="10" t="str">
        <f aca="false">IF(OR(B324="",C324=""),"",ROUND(MOD(C324-B324,1)*1440,0))</f>
        <v/>
      </c>
      <c r="K324" s="9"/>
      <c r="L324" s="9"/>
      <c r="M324" s="9"/>
      <c r="N324" s="9"/>
    </row>
    <row r="325" customFormat="false" ht="15" hidden="false" customHeight="true" outlineLevel="0" collapsed="false">
      <c r="A325" s="8"/>
      <c r="B325" s="13"/>
      <c r="C325" s="13"/>
      <c r="D325" s="9"/>
      <c r="E325" s="9"/>
      <c r="F325" s="9"/>
      <c r="G325" s="9"/>
      <c r="H325" s="9"/>
      <c r="I325" s="14" t="str">
        <f aca="false">IF(OR(G325="",H325=""),"",1-H325/G325)</f>
        <v/>
      </c>
      <c r="J325" s="10" t="str">
        <f aca="false">IF(OR(B325="",C325=""),"",ROUND(MOD(C325-B325,1)*1440,0))</f>
        <v/>
      </c>
      <c r="K325" s="9"/>
      <c r="L325" s="9"/>
      <c r="M325" s="9"/>
      <c r="N325" s="9"/>
    </row>
    <row r="326" customFormat="false" ht="15" hidden="false" customHeight="true" outlineLevel="0" collapsed="false">
      <c r="A326" s="8"/>
      <c r="B326" s="13"/>
      <c r="C326" s="13"/>
      <c r="D326" s="9"/>
      <c r="E326" s="9"/>
      <c r="F326" s="9"/>
      <c r="G326" s="9"/>
      <c r="H326" s="9"/>
      <c r="I326" s="14" t="str">
        <f aca="false">IF(OR(G326="",H326=""),"",1-H326/G326)</f>
        <v/>
      </c>
      <c r="J326" s="10" t="str">
        <f aca="false">IF(OR(B326="",C326=""),"",ROUND(MOD(C326-B326,1)*1440,0))</f>
        <v/>
      </c>
      <c r="K326" s="9"/>
      <c r="L326" s="9"/>
      <c r="M326" s="9"/>
      <c r="N326" s="9"/>
    </row>
    <row r="327" customFormat="false" ht="15" hidden="false" customHeight="true" outlineLevel="0" collapsed="false">
      <c r="A327" s="8"/>
      <c r="B327" s="13"/>
      <c r="C327" s="13"/>
      <c r="D327" s="9"/>
      <c r="E327" s="9"/>
      <c r="F327" s="9"/>
      <c r="G327" s="9"/>
      <c r="H327" s="9"/>
      <c r="I327" s="14" t="str">
        <f aca="false">IF(OR(G327="",H327=""),"",1-H327/G327)</f>
        <v/>
      </c>
      <c r="J327" s="10" t="str">
        <f aca="false">IF(OR(B327="",C327=""),"",ROUND(MOD(C327-B327,1)*1440,0))</f>
        <v/>
      </c>
      <c r="K327" s="9"/>
      <c r="L327" s="9"/>
      <c r="M327" s="9"/>
      <c r="N327" s="9"/>
    </row>
    <row r="328" customFormat="false" ht="15" hidden="false" customHeight="true" outlineLevel="0" collapsed="false">
      <c r="A328" s="8"/>
      <c r="B328" s="13"/>
      <c r="C328" s="13"/>
      <c r="D328" s="9"/>
      <c r="E328" s="9"/>
      <c r="F328" s="9"/>
      <c r="G328" s="9"/>
      <c r="H328" s="9"/>
      <c r="I328" s="14" t="str">
        <f aca="false">IF(OR(G328="",H328=""),"",1-H328/G328)</f>
        <v/>
      </c>
      <c r="J328" s="10" t="str">
        <f aca="false">IF(OR(B328="",C328=""),"",ROUND(MOD(C328-B328,1)*1440,0))</f>
        <v/>
      </c>
      <c r="K328" s="9"/>
      <c r="L328" s="9"/>
      <c r="M328" s="9"/>
      <c r="N328" s="9"/>
    </row>
    <row r="329" customFormat="false" ht="15" hidden="false" customHeight="true" outlineLevel="0" collapsed="false">
      <c r="A329" s="8"/>
      <c r="B329" s="13"/>
      <c r="C329" s="13"/>
      <c r="D329" s="9"/>
      <c r="E329" s="9"/>
      <c r="F329" s="9"/>
      <c r="G329" s="9"/>
      <c r="H329" s="9"/>
      <c r="I329" s="14" t="str">
        <f aca="false">IF(OR(G329="",H329=""),"",1-H329/G329)</f>
        <v/>
      </c>
      <c r="J329" s="10" t="str">
        <f aca="false">IF(OR(B329="",C329=""),"",ROUND(MOD(C329-B329,1)*1440,0))</f>
        <v/>
      </c>
      <c r="K329" s="9"/>
      <c r="L329" s="9"/>
      <c r="M329" s="9"/>
      <c r="N329" s="9"/>
    </row>
    <row r="330" customFormat="false" ht="15" hidden="false" customHeight="true" outlineLevel="0" collapsed="false">
      <c r="A330" s="8"/>
      <c r="B330" s="13"/>
      <c r="C330" s="13"/>
      <c r="D330" s="9"/>
      <c r="E330" s="9"/>
      <c r="F330" s="9"/>
      <c r="G330" s="9"/>
      <c r="H330" s="9"/>
      <c r="I330" s="14" t="str">
        <f aca="false">IF(OR(G330="",H330=""),"",1-H330/G330)</f>
        <v/>
      </c>
      <c r="J330" s="10" t="str">
        <f aca="false">IF(OR(B330="",C330=""),"",ROUND(MOD(C330-B330,1)*1440,0))</f>
        <v/>
      </c>
      <c r="K330" s="9"/>
      <c r="L330" s="9"/>
      <c r="M330" s="9"/>
      <c r="N330" s="9"/>
    </row>
    <row r="331" customFormat="false" ht="15" hidden="false" customHeight="true" outlineLevel="0" collapsed="false">
      <c r="A331" s="8"/>
      <c r="B331" s="13"/>
      <c r="C331" s="13"/>
      <c r="D331" s="9"/>
      <c r="E331" s="9"/>
      <c r="F331" s="9"/>
      <c r="G331" s="9"/>
      <c r="H331" s="9"/>
      <c r="I331" s="14" t="str">
        <f aca="false">IF(OR(G331="",H331=""),"",1-H331/G331)</f>
        <v/>
      </c>
      <c r="J331" s="10" t="str">
        <f aca="false">IF(OR(B331="",C331=""),"",ROUND(MOD(C331-B331,1)*1440,0))</f>
        <v/>
      </c>
      <c r="K331" s="9"/>
      <c r="L331" s="9"/>
      <c r="M331" s="9"/>
      <c r="N331" s="9"/>
    </row>
    <row r="332" customFormat="false" ht="15" hidden="false" customHeight="true" outlineLevel="0" collapsed="false">
      <c r="A332" s="8"/>
      <c r="B332" s="13"/>
      <c r="C332" s="13"/>
      <c r="D332" s="9"/>
      <c r="E332" s="9"/>
      <c r="F332" s="9"/>
      <c r="G332" s="9"/>
      <c r="H332" s="9"/>
      <c r="I332" s="14" t="str">
        <f aca="false">IF(OR(G332="",H332=""),"",1-H332/G332)</f>
        <v/>
      </c>
      <c r="J332" s="10" t="str">
        <f aca="false">IF(OR(B332="",C332=""),"",ROUND(MOD(C332-B332,1)*1440,0))</f>
        <v/>
      </c>
      <c r="K332" s="9"/>
      <c r="L332" s="9"/>
      <c r="M332" s="9"/>
      <c r="N332" s="9"/>
    </row>
    <row r="333" customFormat="false" ht="15" hidden="false" customHeight="true" outlineLevel="0" collapsed="false">
      <c r="A333" s="8"/>
      <c r="B333" s="13"/>
      <c r="C333" s="13"/>
      <c r="D333" s="9"/>
      <c r="E333" s="9"/>
      <c r="F333" s="9"/>
      <c r="G333" s="9"/>
      <c r="H333" s="9"/>
      <c r="I333" s="14" t="str">
        <f aca="false">IF(OR(G333="",H333=""),"",1-H333/G333)</f>
        <v/>
      </c>
      <c r="J333" s="10" t="str">
        <f aca="false">IF(OR(B333="",C333=""),"",ROUND(MOD(C333-B333,1)*1440,0))</f>
        <v/>
      </c>
      <c r="K333" s="9"/>
      <c r="L333" s="9"/>
      <c r="M333" s="9"/>
      <c r="N333" s="9"/>
    </row>
    <row r="334" customFormat="false" ht="15" hidden="false" customHeight="true" outlineLevel="0" collapsed="false">
      <c r="A334" s="8"/>
      <c r="B334" s="13"/>
      <c r="C334" s="13"/>
      <c r="D334" s="9"/>
      <c r="E334" s="9"/>
      <c r="F334" s="9"/>
      <c r="G334" s="9"/>
      <c r="H334" s="9"/>
      <c r="I334" s="14" t="str">
        <f aca="false">IF(OR(G334="",H334=""),"",1-H334/G334)</f>
        <v/>
      </c>
      <c r="J334" s="10" t="str">
        <f aca="false">IF(OR(B334="",C334=""),"",ROUND(MOD(C334-B334,1)*1440,0))</f>
        <v/>
      </c>
      <c r="K334" s="9"/>
      <c r="L334" s="9"/>
      <c r="M334" s="9"/>
      <c r="N334" s="9"/>
    </row>
    <row r="335" customFormat="false" ht="15" hidden="false" customHeight="true" outlineLevel="0" collapsed="false">
      <c r="A335" s="8"/>
      <c r="B335" s="13"/>
      <c r="C335" s="13"/>
      <c r="D335" s="9"/>
      <c r="E335" s="9"/>
      <c r="F335" s="9"/>
      <c r="G335" s="9"/>
      <c r="H335" s="9"/>
      <c r="I335" s="14" t="str">
        <f aca="false">IF(OR(G335="",H335=""),"",1-H335/G335)</f>
        <v/>
      </c>
      <c r="J335" s="10" t="str">
        <f aca="false">IF(OR(B335="",C335=""),"",ROUND(MOD(C335-B335,1)*1440,0))</f>
        <v/>
      </c>
      <c r="K335" s="9"/>
      <c r="L335" s="9"/>
      <c r="M335" s="9"/>
      <c r="N335" s="9"/>
    </row>
    <row r="336" customFormat="false" ht="15" hidden="false" customHeight="true" outlineLevel="0" collapsed="false">
      <c r="A336" s="8"/>
      <c r="B336" s="13"/>
      <c r="C336" s="13"/>
      <c r="D336" s="9"/>
      <c r="E336" s="9"/>
      <c r="F336" s="9"/>
      <c r="G336" s="9"/>
      <c r="H336" s="9"/>
      <c r="I336" s="14" t="str">
        <f aca="false">IF(OR(G336="",H336=""),"",1-H336/G336)</f>
        <v/>
      </c>
      <c r="J336" s="10" t="str">
        <f aca="false">IF(OR(B336="",C336=""),"",ROUND(MOD(C336-B336,1)*1440,0))</f>
        <v/>
      </c>
      <c r="K336" s="9"/>
      <c r="L336" s="9"/>
      <c r="M336" s="9"/>
      <c r="N336" s="9"/>
    </row>
    <row r="337" customFormat="false" ht="15" hidden="false" customHeight="true" outlineLevel="0" collapsed="false">
      <c r="A337" s="8"/>
      <c r="B337" s="13"/>
      <c r="C337" s="13"/>
      <c r="D337" s="9"/>
      <c r="E337" s="9"/>
      <c r="F337" s="9"/>
      <c r="G337" s="9"/>
      <c r="H337" s="9"/>
      <c r="I337" s="14" t="str">
        <f aca="false">IF(OR(G337="",H337=""),"",1-H337/G337)</f>
        <v/>
      </c>
      <c r="J337" s="10" t="str">
        <f aca="false">IF(OR(B337="",C337=""),"",ROUND(MOD(C337-B337,1)*1440,0))</f>
        <v/>
      </c>
      <c r="K337" s="9"/>
      <c r="L337" s="9"/>
      <c r="M337" s="9"/>
      <c r="N337" s="9"/>
    </row>
    <row r="338" customFormat="false" ht="15" hidden="false" customHeight="true" outlineLevel="0" collapsed="false">
      <c r="A338" s="8"/>
      <c r="B338" s="13"/>
      <c r="C338" s="13"/>
      <c r="D338" s="9"/>
      <c r="E338" s="9"/>
      <c r="F338" s="9"/>
      <c r="G338" s="9"/>
      <c r="H338" s="9"/>
      <c r="I338" s="14" t="str">
        <f aca="false">IF(OR(G338="",H338=""),"",1-H338/G338)</f>
        <v/>
      </c>
      <c r="J338" s="10" t="str">
        <f aca="false">IF(OR(B338="",C338=""),"",ROUND(MOD(C338-B338,1)*1440,0))</f>
        <v/>
      </c>
      <c r="K338" s="9"/>
      <c r="L338" s="9"/>
      <c r="M338" s="9"/>
      <c r="N338" s="9"/>
    </row>
    <row r="339" customFormat="false" ht="15" hidden="false" customHeight="true" outlineLevel="0" collapsed="false">
      <c r="A339" s="8"/>
      <c r="B339" s="13"/>
      <c r="C339" s="13"/>
      <c r="D339" s="9"/>
      <c r="E339" s="9"/>
      <c r="F339" s="9"/>
      <c r="G339" s="9"/>
      <c r="H339" s="9"/>
      <c r="I339" s="14" t="str">
        <f aca="false">IF(OR(G339="",H339=""),"",1-H339/G339)</f>
        <v/>
      </c>
      <c r="J339" s="10" t="str">
        <f aca="false">IF(OR(B339="",C339=""),"",ROUND(MOD(C339-B339,1)*1440,0))</f>
        <v/>
      </c>
      <c r="K339" s="9"/>
      <c r="L339" s="9"/>
      <c r="M339" s="9"/>
      <c r="N339" s="9"/>
    </row>
    <row r="340" customFormat="false" ht="15" hidden="false" customHeight="true" outlineLevel="0" collapsed="false">
      <c r="A340" s="8"/>
      <c r="B340" s="13"/>
      <c r="C340" s="13"/>
      <c r="D340" s="9"/>
      <c r="E340" s="9"/>
      <c r="F340" s="9"/>
      <c r="G340" s="9"/>
      <c r="H340" s="9"/>
      <c r="I340" s="14" t="str">
        <f aca="false">IF(OR(G340="",H340=""),"",1-H340/G340)</f>
        <v/>
      </c>
      <c r="J340" s="10" t="str">
        <f aca="false">IF(OR(B340="",C340=""),"",ROUND(MOD(C340-B340,1)*1440,0))</f>
        <v/>
      </c>
      <c r="K340" s="9"/>
      <c r="L340" s="9"/>
      <c r="M340" s="9"/>
      <c r="N340" s="9"/>
    </row>
    <row r="341" customFormat="false" ht="15" hidden="false" customHeight="true" outlineLevel="0" collapsed="false">
      <c r="A341" s="8"/>
      <c r="B341" s="13"/>
      <c r="C341" s="13"/>
      <c r="D341" s="9"/>
      <c r="E341" s="9"/>
      <c r="F341" s="9"/>
      <c r="G341" s="9"/>
      <c r="H341" s="9"/>
      <c r="I341" s="14" t="str">
        <f aca="false">IF(OR(G341="",H341=""),"",1-H341/G341)</f>
        <v/>
      </c>
      <c r="J341" s="10" t="str">
        <f aca="false">IF(OR(B341="",C341=""),"",ROUND(MOD(C341-B341,1)*1440,0))</f>
        <v/>
      </c>
      <c r="K341" s="9"/>
      <c r="L341" s="9"/>
      <c r="M341" s="9"/>
      <c r="N341" s="9"/>
    </row>
    <row r="342" customFormat="false" ht="15" hidden="false" customHeight="true" outlineLevel="0" collapsed="false">
      <c r="A342" s="8"/>
      <c r="B342" s="13"/>
      <c r="C342" s="13"/>
      <c r="D342" s="9"/>
      <c r="E342" s="9"/>
      <c r="F342" s="9"/>
      <c r="G342" s="9"/>
      <c r="H342" s="9"/>
      <c r="I342" s="14" t="str">
        <f aca="false">IF(OR(G342="",H342=""),"",1-H342/G342)</f>
        <v/>
      </c>
      <c r="J342" s="10" t="str">
        <f aca="false">IF(OR(B342="",C342=""),"",ROUND(MOD(C342-B342,1)*1440,0))</f>
        <v/>
      </c>
      <c r="K342" s="9"/>
      <c r="L342" s="9"/>
      <c r="M342" s="9"/>
      <c r="N342" s="9"/>
    </row>
    <row r="343" customFormat="false" ht="15" hidden="false" customHeight="true" outlineLevel="0" collapsed="false">
      <c r="A343" s="8"/>
      <c r="B343" s="13"/>
      <c r="C343" s="13"/>
      <c r="D343" s="9"/>
      <c r="E343" s="9"/>
      <c r="F343" s="9"/>
      <c r="G343" s="9"/>
      <c r="H343" s="9"/>
      <c r="I343" s="14" t="str">
        <f aca="false">IF(OR(G343="",H343=""),"",1-H343/G343)</f>
        <v/>
      </c>
      <c r="J343" s="10" t="str">
        <f aca="false">IF(OR(B343="",C343=""),"",ROUND(MOD(C343-B343,1)*1440,0))</f>
        <v/>
      </c>
      <c r="K343" s="9"/>
      <c r="L343" s="9"/>
      <c r="M343" s="9"/>
      <c r="N343" s="9"/>
    </row>
    <row r="344" customFormat="false" ht="15" hidden="false" customHeight="true" outlineLevel="0" collapsed="false">
      <c r="A344" s="8"/>
      <c r="B344" s="13"/>
      <c r="C344" s="13"/>
      <c r="D344" s="9"/>
      <c r="E344" s="9"/>
      <c r="F344" s="9"/>
      <c r="G344" s="9"/>
      <c r="H344" s="9"/>
      <c r="I344" s="14" t="str">
        <f aca="false">IF(OR(G344="",H344=""),"",1-H344/G344)</f>
        <v/>
      </c>
      <c r="J344" s="10" t="str">
        <f aca="false">IF(OR(B344="",C344=""),"",ROUND(MOD(C344-B344,1)*1440,0))</f>
        <v/>
      </c>
      <c r="K344" s="9"/>
      <c r="L344" s="9"/>
      <c r="M344" s="9"/>
      <c r="N344" s="9"/>
    </row>
    <row r="345" customFormat="false" ht="15" hidden="false" customHeight="true" outlineLevel="0" collapsed="false">
      <c r="A345" s="8"/>
      <c r="B345" s="13"/>
      <c r="C345" s="13"/>
      <c r="D345" s="9"/>
      <c r="E345" s="9"/>
      <c r="F345" s="9"/>
      <c r="G345" s="9"/>
      <c r="H345" s="9"/>
      <c r="I345" s="14" t="str">
        <f aca="false">IF(OR(G345="",H345=""),"",1-H345/G345)</f>
        <v/>
      </c>
      <c r="J345" s="10" t="str">
        <f aca="false">IF(OR(B345="",C345=""),"",ROUND(MOD(C345-B345,1)*1440,0))</f>
        <v/>
      </c>
      <c r="K345" s="9"/>
      <c r="L345" s="9"/>
      <c r="M345" s="9"/>
      <c r="N345" s="9"/>
    </row>
    <row r="346" customFormat="false" ht="15" hidden="false" customHeight="true" outlineLevel="0" collapsed="false">
      <c r="A346" s="8"/>
      <c r="B346" s="13"/>
      <c r="C346" s="13"/>
      <c r="D346" s="9"/>
      <c r="E346" s="9"/>
      <c r="F346" s="9"/>
      <c r="G346" s="9"/>
      <c r="H346" s="9"/>
      <c r="I346" s="14" t="str">
        <f aca="false">IF(OR(G346="",H346=""),"",1-H346/G346)</f>
        <v/>
      </c>
      <c r="J346" s="10" t="str">
        <f aca="false">IF(OR(B346="",C346=""),"",ROUND(MOD(C346-B346,1)*1440,0))</f>
        <v/>
      </c>
      <c r="K346" s="9"/>
      <c r="L346" s="9"/>
      <c r="M346" s="9"/>
      <c r="N346" s="9"/>
    </row>
    <row r="347" customFormat="false" ht="15" hidden="false" customHeight="true" outlineLevel="0" collapsed="false">
      <c r="A347" s="8"/>
      <c r="B347" s="13"/>
      <c r="C347" s="13"/>
      <c r="D347" s="9"/>
      <c r="E347" s="9"/>
      <c r="F347" s="9"/>
      <c r="G347" s="9"/>
      <c r="H347" s="9"/>
      <c r="I347" s="14" t="str">
        <f aca="false">IF(OR(G347="",H347=""),"",1-H347/G347)</f>
        <v/>
      </c>
      <c r="J347" s="10" t="str">
        <f aca="false">IF(OR(B347="",C347=""),"",ROUND(MOD(C347-B347,1)*1440,0))</f>
        <v/>
      </c>
      <c r="K347" s="9"/>
      <c r="L347" s="9"/>
      <c r="M347" s="9"/>
      <c r="N347" s="9"/>
    </row>
    <row r="348" customFormat="false" ht="15" hidden="false" customHeight="true" outlineLevel="0" collapsed="false">
      <c r="A348" s="8"/>
      <c r="B348" s="13"/>
      <c r="C348" s="13"/>
      <c r="D348" s="9"/>
      <c r="E348" s="9"/>
      <c r="F348" s="9"/>
      <c r="G348" s="9"/>
      <c r="H348" s="9"/>
      <c r="I348" s="14" t="str">
        <f aca="false">IF(OR(G348="",H348=""),"",1-H348/G348)</f>
        <v/>
      </c>
      <c r="J348" s="10" t="str">
        <f aca="false">IF(OR(B348="",C348=""),"",ROUND(MOD(C348-B348,1)*1440,0))</f>
        <v/>
      </c>
      <c r="K348" s="9"/>
      <c r="L348" s="9"/>
      <c r="M348" s="9"/>
      <c r="N348" s="9"/>
    </row>
    <row r="349" customFormat="false" ht="15" hidden="false" customHeight="true" outlineLevel="0" collapsed="false">
      <c r="A349" s="8"/>
      <c r="B349" s="13"/>
      <c r="C349" s="13"/>
      <c r="D349" s="9"/>
      <c r="E349" s="9"/>
      <c r="F349" s="9"/>
      <c r="G349" s="9"/>
      <c r="H349" s="9"/>
      <c r="I349" s="14" t="str">
        <f aca="false">IF(OR(G349="",H349=""),"",1-H349/G349)</f>
        <v/>
      </c>
      <c r="J349" s="10" t="str">
        <f aca="false">IF(OR(B349="",C349=""),"",ROUND(MOD(C349-B349,1)*1440,0))</f>
        <v/>
      </c>
      <c r="K349" s="9"/>
      <c r="L349" s="9"/>
      <c r="M349" s="9"/>
      <c r="N349" s="9"/>
    </row>
    <row r="350" customFormat="false" ht="15" hidden="false" customHeight="true" outlineLevel="0" collapsed="false">
      <c r="A350" s="8"/>
      <c r="B350" s="13"/>
      <c r="C350" s="13"/>
      <c r="D350" s="9"/>
      <c r="E350" s="9"/>
      <c r="F350" s="9"/>
      <c r="G350" s="9"/>
      <c r="H350" s="9"/>
      <c r="I350" s="14" t="str">
        <f aca="false">IF(OR(G350="",H350=""),"",1-H350/G350)</f>
        <v/>
      </c>
      <c r="J350" s="10" t="str">
        <f aca="false">IF(OR(B350="",C350=""),"",ROUND(MOD(C350-B350,1)*1440,0))</f>
        <v/>
      </c>
      <c r="K350" s="9"/>
      <c r="L350" s="9"/>
      <c r="M350" s="9"/>
      <c r="N350" s="9"/>
    </row>
    <row r="351" customFormat="false" ht="15" hidden="false" customHeight="true" outlineLevel="0" collapsed="false">
      <c r="A351" s="8"/>
      <c r="B351" s="13"/>
      <c r="C351" s="13"/>
      <c r="D351" s="9"/>
      <c r="E351" s="9"/>
      <c r="F351" s="9"/>
      <c r="G351" s="9"/>
      <c r="H351" s="9"/>
      <c r="I351" s="14" t="str">
        <f aca="false">IF(OR(G351="",H351=""),"",1-H351/G351)</f>
        <v/>
      </c>
      <c r="J351" s="10" t="str">
        <f aca="false">IF(OR(B351="",C351=""),"",ROUND(MOD(C351-B351,1)*1440,0))</f>
        <v/>
      </c>
      <c r="K351" s="9"/>
      <c r="L351" s="9"/>
      <c r="M351" s="9"/>
      <c r="N351" s="9"/>
    </row>
    <row r="352" customFormat="false" ht="15" hidden="false" customHeight="true" outlineLevel="0" collapsed="false">
      <c r="A352" s="8"/>
      <c r="B352" s="13"/>
      <c r="C352" s="13"/>
      <c r="D352" s="9"/>
      <c r="E352" s="9"/>
      <c r="F352" s="9"/>
      <c r="G352" s="9"/>
      <c r="H352" s="9"/>
      <c r="I352" s="14" t="str">
        <f aca="false">IF(OR(G352="",H352=""),"",1-H352/G352)</f>
        <v/>
      </c>
      <c r="J352" s="10" t="str">
        <f aca="false">IF(OR(B352="",C352=""),"",ROUND(MOD(C352-B352,1)*1440,0))</f>
        <v/>
      </c>
      <c r="K352" s="9"/>
      <c r="L352" s="9"/>
      <c r="M352" s="9"/>
      <c r="N352" s="9"/>
    </row>
    <row r="353" customFormat="false" ht="15" hidden="false" customHeight="true" outlineLevel="0" collapsed="false">
      <c r="A353" s="8"/>
      <c r="B353" s="13"/>
      <c r="C353" s="13"/>
      <c r="D353" s="9"/>
      <c r="E353" s="9"/>
      <c r="F353" s="9"/>
      <c r="G353" s="9"/>
      <c r="H353" s="9"/>
      <c r="I353" s="14" t="str">
        <f aca="false">IF(OR(G353="",H353=""),"",1-H353/G353)</f>
        <v/>
      </c>
      <c r="J353" s="10" t="str">
        <f aca="false">IF(OR(B353="",C353=""),"",ROUND(MOD(C353-B353,1)*1440,0))</f>
        <v/>
      </c>
      <c r="K353" s="9"/>
      <c r="L353" s="9"/>
      <c r="M353" s="9"/>
      <c r="N353" s="9"/>
    </row>
    <row r="354" customFormat="false" ht="15" hidden="false" customHeight="true" outlineLevel="0" collapsed="false">
      <c r="A354" s="8"/>
      <c r="B354" s="13"/>
      <c r="C354" s="13"/>
      <c r="D354" s="9"/>
      <c r="E354" s="9"/>
      <c r="F354" s="9"/>
      <c r="G354" s="9"/>
      <c r="H354" s="9"/>
      <c r="I354" s="14" t="str">
        <f aca="false">IF(OR(G354="",H354=""),"",1-H354/G354)</f>
        <v/>
      </c>
      <c r="J354" s="10" t="str">
        <f aca="false">IF(OR(B354="",C354=""),"",ROUND(MOD(C354-B354,1)*1440,0))</f>
        <v/>
      </c>
      <c r="K354" s="9"/>
      <c r="L354" s="9"/>
      <c r="M354" s="9"/>
      <c r="N354" s="9"/>
    </row>
    <row r="355" customFormat="false" ht="15" hidden="false" customHeight="true" outlineLevel="0" collapsed="false">
      <c r="A355" s="8"/>
      <c r="B355" s="13"/>
      <c r="C355" s="13"/>
      <c r="D355" s="9"/>
      <c r="E355" s="9"/>
      <c r="F355" s="9"/>
      <c r="G355" s="9"/>
      <c r="H355" s="9"/>
      <c r="I355" s="14" t="str">
        <f aca="false">IF(OR(G355="",H355=""),"",1-H355/G355)</f>
        <v/>
      </c>
      <c r="J355" s="10" t="str">
        <f aca="false">IF(OR(B355="",C355=""),"",ROUND(MOD(C355-B355,1)*1440,0))</f>
        <v/>
      </c>
      <c r="K355" s="9"/>
      <c r="L355" s="9"/>
      <c r="M355" s="9"/>
      <c r="N355" s="9"/>
    </row>
    <row r="356" customFormat="false" ht="15" hidden="false" customHeight="true" outlineLevel="0" collapsed="false">
      <c r="A356" s="8"/>
      <c r="B356" s="13"/>
      <c r="C356" s="13"/>
      <c r="D356" s="9"/>
      <c r="E356" s="9"/>
      <c r="F356" s="9"/>
      <c r="G356" s="9"/>
      <c r="H356" s="9"/>
      <c r="I356" s="14" t="str">
        <f aca="false">IF(OR(G356="",H356=""),"",1-H356/G356)</f>
        <v/>
      </c>
      <c r="J356" s="10" t="str">
        <f aca="false">IF(OR(B356="",C356=""),"",ROUND(MOD(C356-B356,1)*1440,0))</f>
        <v/>
      </c>
      <c r="K356" s="9"/>
      <c r="L356" s="9"/>
      <c r="M356" s="9"/>
      <c r="N356" s="9"/>
    </row>
    <row r="357" customFormat="false" ht="15" hidden="false" customHeight="true" outlineLevel="0" collapsed="false">
      <c r="A357" s="8"/>
      <c r="B357" s="13"/>
      <c r="C357" s="13"/>
      <c r="D357" s="9"/>
      <c r="E357" s="9"/>
      <c r="F357" s="9"/>
      <c r="G357" s="9"/>
      <c r="H357" s="9"/>
      <c r="I357" s="14" t="str">
        <f aca="false">IF(OR(G357="",H357=""),"",1-H357/G357)</f>
        <v/>
      </c>
      <c r="J357" s="10" t="str">
        <f aca="false">IF(OR(B357="",C357=""),"",ROUND(MOD(C357-B357,1)*1440,0))</f>
        <v/>
      </c>
      <c r="K357" s="9"/>
      <c r="L357" s="9"/>
      <c r="M357" s="9"/>
      <c r="N357" s="9"/>
    </row>
    <row r="358" customFormat="false" ht="15" hidden="false" customHeight="true" outlineLevel="0" collapsed="false">
      <c r="A358" s="8"/>
      <c r="B358" s="13"/>
      <c r="C358" s="13"/>
      <c r="D358" s="9"/>
      <c r="E358" s="9"/>
      <c r="F358" s="9"/>
      <c r="G358" s="9"/>
      <c r="H358" s="9"/>
      <c r="I358" s="14" t="str">
        <f aca="false">IF(OR(G358="",H358=""),"",1-H358/G358)</f>
        <v/>
      </c>
      <c r="J358" s="10" t="str">
        <f aca="false">IF(OR(B358="",C358=""),"",ROUND(MOD(C358-B358,1)*1440,0))</f>
        <v/>
      </c>
      <c r="K358" s="9"/>
      <c r="L358" s="9"/>
      <c r="M358" s="9"/>
      <c r="N358" s="9"/>
    </row>
    <row r="359" customFormat="false" ht="15" hidden="false" customHeight="true" outlineLevel="0" collapsed="false">
      <c r="A359" s="8"/>
      <c r="B359" s="13"/>
      <c r="C359" s="13"/>
      <c r="D359" s="9"/>
      <c r="E359" s="9"/>
      <c r="F359" s="9"/>
      <c r="G359" s="9"/>
      <c r="H359" s="9"/>
      <c r="I359" s="14" t="str">
        <f aca="false">IF(OR(G359="",H359=""),"",1-H359/G359)</f>
        <v/>
      </c>
      <c r="J359" s="10" t="str">
        <f aca="false">IF(OR(B359="",C359=""),"",ROUND(MOD(C359-B359,1)*1440,0))</f>
        <v/>
      </c>
      <c r="K359" s="9"/>
      <c r="L359" s="9"/>
      <c r="M359" s="9"/>
      <c r="N359" s="9"/>
    </row>
    <row r="360" customFormat="false" ht="15" hidden="false" customHeight="true" outlineLevel="0" collapsed="false">
      <c r="A360" s="8"/>
      <c r="B360" s="13"/>
      <c r="C360" s="13"/>
      <c r="D360" s="9"/>
      <c r="E360" s="9"/>
      <c r="F360" s="9"/>
      <c r="G360" s="9"/>
      <c r="H360" s="9"/>
      <c r="I360" s="14" t="str">
        <f aca="false">IF(OR(G360="",H360=""),"",1-H360/G360)</f>
        <v/>
      </c>
      <c r="J360" s="10" t="str">
        <f aca="false">IF(OR(B360="",C360=""),"",ROUND(MOD(C360-B360,1)*1440,0))</f>
        <v/>
      </c>
      <c r="K360" s="9"/>
      <c r="L360" s="9"/>
      <c r="M360" s="9"/>
      <c r="N360" s="9"/>
    </row>
    <row r="361" customFormat="false" ht="15" hidden="false" customHeight="true" outlineLevel="0" collapsed="false">
      <c r="A361" s="8"/>
      <c r="B361" s="13"/>
      <c r="C361" s="13"/>
      <c r="D361" s="9"/>
      <c r="E361" s="9"/>
      <c r="F361" s="9"/>
      <c r="G361" s="9"/>
      <c r="H361" s="9"/>
      <c r="I361" s="14" t="str">
        <f aca="false">IF(OR(G361="",H361=""),"",1-H361/G361)</f>
        <v/>
      </c>
      <c r="J361" s="10" t="str">
        <f aca="false">IF(OR(B361="",C361=""),"",ROUND(MOD(C361-B361,1)*1440,0))</f>
        <v/>
      </c>
      <c r="K361" s="9"/>
      <c r="L361" s="9"/>
      <c r="M361" s="9"/>
      <c r="N361" s="9"/>
    </row>
    <row r="362" customFormat="false" ht="15" hidden="false" customHeight="true" outlineLevel="0" collapsed="false">
      <c r="A362" s="8"/>
      <c r="B362" s="13"/>
      <c r="C362" s="13"/>
      <c r="D362" s="9"/>
      <c r="E362" s="9"/>
      <c r="F362" s="9"/>
      <c r="G362" s="9"/>
      <c r="H362" s="9"/>
      <c r="I362" s="14" t="str">
        <f aca="false">IF(OR(G362="",H362=""),"",1-H362/G362)</f>
        <v/>
      </c>
      <c r="J362" s="10" t="str">
        <f aca="false">IF(OR(B362="",C362=""),"",ROUND(MOD(C362-B362,1)*1440,0))</f>
        <v/>
      </c>
      <c r="K362" s="9"/>
      <c r="L362" s="9"/>
      <c r="M362" s="9"/>
      <c r="N362" s="9"/>
    </row>
    <row r="363" customFormat="false" ht="15" hidden="false" customHeight="true" outlineLevel="0" collapsed="false">
      <c r="A363" s="8"/>
      <c r="B363" s="13"/>
      <c r="C363" s="13"/>
      <c r="D363" s="9"/>
      <c r="E363" s="9"/>
      <c r="F363" s="9"/>
      <c r="G363" s="9"/>
      <c r="H363" s="9"/>
      <c r="I363" s="14" t="str">
        <f aca="false">IF(OR(G363="",H363=""),"",1-H363/G363)</f>
        <v/>
      </c>
      <c r="J363" s="10" t="str">
        <f aca="false">IF(OR(B363="",C363=""),"",ROUND(MOD(C363-B363,1)*1440,0))</f>
        <v/>
      </c>
      <c r="K363" s="9"/>
      <c r="L363" s="9"/>
      <c r="M363" s="9"/>
      <c r="N363" s="9"/>
    </row>
    <row r="364" customFormat="false" ht="15" hidden="false" customHeight="true" outlineLevel="0" collapsed="false">
      <c r="A364" s="8"/>
      <c r="B364" s="13"/>
      <c r="C364" s="13"/>
      <c r="D364" s="9"/>
      <c r="E364" s="9"/>
      <c r="F364" s="9"/>
      <c r="G364" s="9"/>
      <c r="H364" s="9"/>
      <c r="I364" s="14" t="str">
        <f aca="false">IF(OR(G364="",H364=""),"",1-H364/G364)</f>
        <v/>
      </c>
      <c r="J364" s="10" t="str">
        <f aca="false">IF(OR(B364="",C364=""),"",ROUND(MOD(C364-B364,1)*1440,0))</f>
        <v/>
      </c>
      <c r="K364" s="9"/>
      <c r="L364" s="9"/>
      <c r="M364" s="9"/>
      <c r="N364" s="9"/>
    </row>
    <row r="365" customFormat="false" ht="15" hidden="false" customHeight="true" outlineLevel="0" collapsed="false">
      <c r="A365" s="8"/>
      <c r="B365" s="13"/>
      <c r="C365" s="13"/>
      <c r="D365" s="9"/>
      <c r="E365" s="9"/>
      <c r="F365" s="9"/>
      <c r="G365" s="9"/>
      <c r="H365" s="9"/>
      <c r="I365" s="14" t="str">
        <f aca="false">IF(OR(G365="",H365=""),"",1-H365/G365)</f>
        <v/>
      </c>
      <c r="J365" s="10" t="str">
        <f aca="false">IF(OR(B365="",C365=""),"",ROUND(MOD(C365-B365,1)*1440,0))</f>
        <v/>
      </c>
      <c r="K365" s="9"/>
      <c r="L365" s="9"/>
      <c r="M365" s="9"/>
      <c r="N365" s="9"/>
    </row>
    <row r="366" customFormat="false" ht="15" hidden="false" customHeight="true" outlineLevel="0" collapsed="false">
      <c r="A366" s="8"/>
      <c r="B366" s="13"/>
      <c r="C366" s="13"/>
      <c r="D366" s="9"/>
      <c r="E366" s="9"/>
      <c r="F366" s="9"/>
      <c r="G366" s="9"/>
      <c r="H366" s="9"/>
      <c r="I366" s="14" t="str">
        <f aca="false">IF(OR(G366="",H366=""),"",1-H366/G366)</f>
        <v/>
      </c>
      <c r="J366" s="10" t="str">
        <f aca="false">IF(OR(B366="",C366=""),"",ROUND(MOD(C366-B366,1)*1440,0))</f>
        <v/>
      </c>
      <c r="K366" s="9"/>
      <c r="L366" s="9"/>
      <c r="M366" s="9"/>
      <c r="N366" s="9"/>
    </row>
    <row r="367" customFormat="false" ht="15" hidden="false" customHeight="true" outlineLevel="0" collapsed="false">
      <c r="A367" s="8"/>
      <c r="B367" s="13"/>
      <c r="C367" s="13"/>
      <c r="D367" s="9"/>
      <c r="E367" s="9"/>
      <c r="F367" s="9"/>
      <c r="G367" s="9"/>
      <c r="H367" s="9"/>
      <c r="I367" s="14" t="str">
        <f aca="false">IF(OR(G367="",H367=""),"",1-H367/G367)</f>
        <v/>
      </c>
      <c r="J367" s="10" t="str">
        <f aca="false">IF(OR(B367="",C367=""),"",ROUND(MOD(C367-B367,1)*1440,0))</f>
        <v/>
      </c>
      <c r="K367" s="9"/>
      <c r="L367" s="9"/>
      <c r="M367" s="9"/>
      <c r="N367" s="9"/>
    </row>
    <row r="368" customFormat="false" ht="15" hidden="false" customHeight="true" outlineLevel="0" collapsed="false">
      <c r="A368" s="8"/>
      <c r="B368" s="13"/>
      <c r="C368" s="13"/>
      <c r="D368" s="9"/>
      <c r="E368" s="9"/>
      <c r="F368" s="9"/>
      <c r="G368" s="9"/>
      <c r="H368" s="9"/>
      <c r="I368" s="14" t="str">
        <f aca="false">IF(OR(G368="",H368=""),"",1-H368/G368)</f>
        <v/>
      </c>
      <c r="J368" s="10" t="str">
        <f aca="false">IF(OR(B368="",C368=""),"",ROUND(MOD(C368-B368,1)*1440,0))</f>
        <v/>
      </c>
      <c r="K368" s="9"/>
      <c r="L368" s="9"/>
      <c r="M368" s="9"/>
      <c r="N368" s="9"/>
    </row>
    <row r="369" customFormat="false" ht="15" hidden="false" customHeight="true" outlineLevel="0" collapsed="false">
      <c r="A369" s="8"/>
      <c r="B369" s="13"/>
      <c r="C369" s="13"/>
      <c r="D369" s="9"/>
      <c r="E369" s="9"/>
      <c r="F369" s="9"/>
      <c r="G369" s="9"/>
      <c r="H369" s="9"/>
      <c r="I369" s="14" t="str">
        <f aca="false">IF(OR(G369="",H369=""),"",1-H369/G369)</f>
        <v/>
      </c>
      <c r="J369" s="10" t="str">
        <f aca="false">IF(OR(B369="",C369=""),"",ROUND(MOD(C369-B369,1)*1440,0))</f>
        <v/>
      </c>
      <c r="K369" s="9"/>
      <c r="L369" s="9"/>
      <c r="M369" s="9"/>
      <c r="N369" s="9"/>
    </row>
    <row r="370" customFormat="false" ht="15" hidden="false" customHeight="true" outlineLevel="0" collapsed="false">
      <c r="A370" s="8"/>
      <c r="B370" s="13"/>
      <c r="C370" s="13"/>
      <c r="D370" s="9"/>
      <c r="E370" s="9"/>
      <c r="F370" s="9"/>
      <c r="G370" s="9"/>
      <c r="H370" s="9"/>
      <c r="I370" s="14" t="str">
        <f aca="false">IF(OR(G370="",H370=""),"",1-H370/G370)</f>
        <v/>
      </c>
      <c r="J370" s="10" t="str">
        <f aca="false">IF(OR(B370="",C370=""),"",ROUND(MOD(C370-B370,1)*1440,0))</f>
        <v/>
      </c>
      <c r="K370" s="9"/>
      <c r="L370" s="9"/>
      <c r="M370" s="9"/>
      <c r="N370" s="9"/>
    </row>
    <row r="371" customFormat="false" ht="15" hidden="false" customHeight="true" outlineLevel="0" collapsed="false">
      <c r="A371" s="8"/>
      <c r="B371" s="13"/>
      <c r="C371" s="13"/>
      <c r="D371" s="9"/>
      <c r="E371" s="9"/>
      <c r="F371" s="9"/>
      <c r="G371" s="9"/>
      <c r="H371" s="9"/>
      <c r="I371" s="14" t="str">
        <f aca="false">IF(OR(G371="",H371=""),"",1-H371/G371)</f>
        <v/>
      </c>
      <c r="J371" s="10" t="str">
        <f aca="false">IF(OR(B371="",C371=""),"",ROUND(MOD(C371-B371,1)*1440,0))</f>
        <v/>
      </c>
      <c r="K371" s="9"/>
      <c r="L371" s="9"/>
      <c r="M371" s="9"/>
      <c r="N371" s="9"/>
    </row>
    <row r="372" customFormat="false" ht="15" hidden="false" customHeight="true" outlineLevel="0" collapsed="false">
      <c r="A372" s="8"/>
      <c r="B372" s="13"/>
      <c r="C372" s="13"/>
      <c r="D372" s="9"/>
      <c r="E372" s="9"/>
      <c r="F372" s="9"/>
      <c r="G372" s="9"/>
      <c r="H372" s="9"/>
      <c r="I372" s="14" t="str">
        <f aca="false">IF(OR(G372="",H372=""),"",1-H372/G372)</f>
        <v/>
      </c>
      <c r="J372" s="10" t="str">
        <f aca="false">IF(OR(B372="",C372=""),"",ROUND(MOD(C372-B372,1)*1440,0))</f>
        <v/>
      </c>
      <c r="K372" s="9"/>
      <c r="L372" s="9"/>
      <c r="M372" s="9"/>
      <c r="N372" s="9"/>
    </row>
    <row r="373" customFormat="false" ht="15" hidden="false" customHeight="true" outlineLevel="0" collapsed="false">
      <c r="A373" s="8"/>
      <c r="B373" s="13"/>
      <c r="C373" s="13"/>
      <c r="D373" s="9"/>
      <c r="E373" s="9"/>
      <c r="F373" s="9"/>
      <c r="G373" s="9"/>
      <c r="H373" s="9"/>
      <c r="I373" s="14" t="str">
        <f aca="false">IF(OR(G373="",H373=""),"",1-H373/G373)</f>
        <v/>
      </c>
      <c r="J373" s="10" t="str">
        <f aca="false">IF(OR(B373="",C373=""),"",ROUND(MOD(C373-B373,1)*1440,0))</f>
        <v/>
      </c>
      <c r="K373" s="9"/>
      <c r="L373" s="9"/>
      <c r="M373" s="9"/>
      <c r="N373" s="9"/>
    </row>
    <row r="374" customFormat="false" ht="15" hidden="false" customHeight="true" outlineLevel="0" collapsed="false">
      <c r="A374" s="8"/>
      <c r="B374" s="13"/>
      <c r="C374" s="13"/>
      <c r="D374" s="9"/>
      <c r="E374" s="9"/>
      <c r="F374" s="9"/>
      <c r="G374" s="9"/>
      <c r="H374" s="9"/>
      <c r="I374" s="14" t="str">
        <f aca="false">IF(OR(G374="",H374=""),"",1-H374/G374)</f>
        <v/>
      </c>
      <c r="J374" s="10" t="str">
        <f aca="false">IF(OR(B374="",C374=""),"",ROUND(MOD(C374-B374,1)*1440,0))</f>
        <v/>
      </c>
      <c r="K374" s="9"/>
      <c r="L374" s="9"/>
      <c r="M374" s="9"/>
      <c r="N374" s="9"/>
    </row>
    <row r="375" customFormat="false" ht="15" hidden="false" customHeight="true" outlineLevel="0" collapsed="false">
      <c r="A375" s="8"/>
      <c r="B375" s="13"/>
      <c r="C375" s="13"/>
      <c r="D375" s="9"/>
      <c r="E375" s="9"/>
      <c r="F375" s="9"/>
      <c r="G375" s="9"/>
      <c r="H375" s="9"/>
      <c r="I375" s="14" t="str">
        <f aca="false">IF(OR(G375="",H375=""),"",1-H375/G375)</f>
        <v/>
      </c>
      <c r="J375" s="10" t="str">
        <f aca="false">IF(OR(B375="",C375=""),"",ROUND(MOD(C375-B375,1)*1440,0))</f>
        <v/>
      </c>
      <c r="K375" s="9"/>
      <c r="L375" s="9"/>
      <c r="M375" s="9"/>
      <c r="N375" s="9"/>
    </row>
    <row r="376" customFormat="false" ht="15" hidden="false" customHeight="true" outlineLevel="0" collapsed="false">
      <c r="A376" s="8"/>
      <c r="B376" s="13"/>
      <c r="C376" s="13"/>
      <c r="D376" s="9"/>
      <c r="E376" s="9"/>
      <c r="F376" s="9"/>
      <c r="G376" s="9"/>
      <c r="H376" s="9"/>
      <c r="I376" s="14" t="str">
        <f aca="false">IF(OR(G376="",H376=""),"",1-H376/G376)</f>
        <v/>
      </c>
      <c r="J376" s="10" t="str">
        <f aca="false">IF(OR(B376="",C376=""),"",ROUND(MOD(C376-B376,1)*1440,0))</f>
        <v/>
      </c>
      <c r="K376" s="9"/>
      <c r="L376" s="9"/>
      <c r="M376" s="9"/>
      <c r="N376" s="9"/>
    </row>
    <row r="377" customFormat="false" ht="15" hidden="false" customHeight="true" outlineLevel="0" collapsed="false">
      <c r="A377" s="8"/>
      <c r="B377" s="13"/>
      <c r="C377" s="13"/>
      <c r="D377" s="9"/>
      <c r="E377" s="9"/>
      <c r="F377" s="9"/>
      <c r="G377" s="9"/>
      <c r="H377" s="9"/>
      <c r="I377" s="14" t="str">
        <f aca="false">IF(OR(G377="",H377=""),"",1-H377/G377)</f>
        <v/>
      </c>
      <c r="J377" s="10" t="str">
        <f aca="false">IF(OR(B377="",C377=""),"",ROUND(MOD(C377-B377,1)*1440,0))</f>
        <v/>
      </c>
      <c r="K377" s="9"/>
      <c r="L377" s="9"/>
      <c r="M377" s="9"/>
      <c r="N377" s="9"/>
    </row>
    <row r="378" customFormat="false" ht="15" hidden="false" customHeight="true" outlineLevel="0" collapsed="false">
      <c r="A378" s="8"/>
      <c r="B378" s="13"/>
      <c r="C378" s="13"/>
      <c r="D378" s="9"/>
      <c r="E378" s="9"/>
      <c r="F378" s="9"/>
      <c r="G378" s="9"/>
      <c r="H378" s="9"/>
      <c r="I378" s="14" t="str">
        <f aca="false">IF(OR(G378="",H378=""),"",1-H378/G378)</f>
        <v/>
      </c>
      <c r="J378" s="10" t="str">
        <f aca="false">IF(OR(B378="",C378=""),"",ROUND(MOD(C378-B378,1)*1440,0))</f>
        <v/>
      </c>
      <c r="K378" s="9"/>
      <c r="L378" s="9"/>
      <c r="M378" s="9"/>
      <c r="N378" s="9"/>
    </row>
    <row r="379" customFormat="false" ht="15" hidden="false" customHeight="true" outlineLevel="0" collapsed="false">
      <c r="A379" s="8"/>
      <c r="B379" s="13"/>
      <c r="C379" s="13"/>
      <c r="D379" s="9"/>
      <c r="E379" s="9"/>
      <c r="F379" s="9"/>
      <c r="G379" s="9"/>
      <c r="H379" s="9"/>
      <c r="I379" s="14" t="str">
        <f aca="false">IF(OR(G379="",H379=""),"",1-H379/G379)</f>
        <v/>
      </c>
      <c r="J379" s="10" t="str">
        <f aca="false">IF(OR(B379="",C379=""),"",ROUND(MOD(C379-B379,1)*1440,0))</f>
        <v/>
      </c>
      <c r="K379" s="9"/>
      <c r="L379" s="9"/>
      <c r="M379" s="9"/>
      <c r="N379" s="9"/>
    </row>
    <row r="380" customFormat="false" ht="15" hidden="false" customHeight="true" outlineLevel="0" collapsed="false">
      <c r="A380" s="8"/>
      <c r="B380" s="13"/>
      <c r="C380" s="13"/>
      <c r="D380" s="9"/>
      <c r="E380" s="9"/>
      <c r="F380" s="9"/>
      <c r="G380" s="9"/>
      <c r="H380" s="9"/>
      <c r="I380" s="14" t="str">
        <f aca="false">IF(OR(G380="",H380=""),"",1-H380/G380)</f>
        <v/>
      </c>
      <c r="J380" s="10" t="str">
        <f aca="false">IF(OR(B380="",C380=""),"",ROUND(MOD(C380-B380,1)*1440,0))</f>
        <v/>
      </c>
      <c r="K380" s="9"/>
      <c r="L380" s="9"/>
      <c r="M380" s="9"/>
      <c r="N380" s="9"/>
    </row>
    <row r="381" customFormat="false" ht="15" hidden="false" customHeight="true" outlineLevel="0" collapsed="false">
      <c r="A381" s="8"/>
      <c r="B381" s="13"/>
      <c r="C381" s="13"/>
      <c r="D381" s="9"/>
      <c r="E381" s="9"/>
      <c r="F381" s="9"/>
      <c r="G381" s="9"/>
      <c r="H381" s="9"/>
      <c r="I381" s="14" t="str">
        <f aca="false">IF(OR(G381="",H381=""),"",1-H381/G381)</f>
        <v/>
      </c>
      <c r="J381" s="10" t="str">
        <f aca="false">IF(OR(B381="",C381=""),"",ROUND(MOD(C381-B381,1)*1440,0))</f>
        <v/>
      </c>
      <c r="K381" s="9"/>
      <c r="L381" s="9"/>
      <c r="M381" s="9"/>
      <c r="N381" s="9"/>
    </row>
    <row r="382" customFormat="false" ht="15" hidden="false" customHeight="true" outlineLevel="0" collapsed="false">
      <c r="A382" s="8"/>
      <c r="B382" s="13"/>
      <c r="C382" s="13"/>
      <c r="D382" s="9"/>
      <c r="E382" s="9"/>
      <c r="F382" s="9"/>
      <c r="G382" s="9"/>
      <c r="H382" s="9"/>
      <c r="I382" s="14" t="str">
        <f aca="false">IF(OR(G382="",H382=""),"",1-H382/G382)</f>
        <v/>
      </c>
      <c r="J382" s="10" t="str">
        <f aca="false">IF(OR(B382="",C382=""),"",ROUND(MOD(C382-B382,1)*1440,0))</f>
        <v/>
      </c>
      <c r="K382" s="9"/>
      <c r="L382" s="9"/>
      <c r="M382" s="9"/>
      <c r="N382" s="9"/>
    </row>
    <row r="383" customFormat="false" ht="15" hidden="false" customHeight="true" outlineLevel="0" collapsed="false">
      <c r="A383" s="8"/>
      <c r="B383" s="13"/>
      <c r="C383" s="13"/>
      <c r="D383" s="9"/>
      <c r="E383" s="9"/>
      <c r="F383" s="9"/>
      <c r="G383" s="9"/>
      <c r="H383" s="9"/>
      <c r="I383" s="14" t="str">
        <f aca="false">IF(OR(G383="",H383=""),"",1-H383/G383)</f>
        <v/>
      </c>
      <c r="J383" s="10" t="str">
        <f aca="false">IF(OR(B383="",C383=""),"",ROUND(MOD(C383-B383,1)*1440,0))</f>
        <v/>
      </c>
      <c r="K383" s="9"/>
      <c r="L383" s="9"/>
      <c r="M383" s="9"/>
      <c r="N383" s="9"/>
    </row>
    <row r="384" customFormat="false" ht="15" hidden="false" customHeight="true" outlineLevel="0" collapsed="false">
      <c r="A384" s="8"/>
      <c r="B384" s="13"/>
      <c r="C384" s="13"/>
      <c r="D384" s="9"/>
      <c r="E384" s="9"/>
      <c r="F384" s="9"/>
      <c r="G384" s="9"/>
      <c r="H384" s="9"/>
      <c r="I384" s="14" t="str">
        <f aca="false">IF(OR(G384="",H384=""),"",1-H384/G384)</f>
        <v/>
      </c>
      <c r="J384" s="10" t="str">
        <f aca="false">IF(OR(B384="",C384=""),"",ROUND(MOD(C384-B384,1)*1440,0))</f>
        <v/>
      </c>
      <c r="K384" s="9"/>
      <c r="L384" s="9"/>
      <c r="M384" s="9"/>
      <c r="N384" s="9"/>
    </row>
    <row r="385" customFormat="false" ht="15" hidden="false" customHeight="true" outlineLevel="0" collapsed="false">
      <c r="A385" s="8"/>
      <c r="B385" s="13"/>
      <c r="C385" s="13"/>
      <c r="D385" s="9"/>
      <c r="E385" s="9"/>
      <c r="F385" s="9"/>
      <c r="G385" s="9"/>
      <c r="H385" s="9"/>
      <c r="I385" s="14" t="str">
        <f aca="false">IF(OR(G385="",H385=""),"",1-H385/G385)</f>
        <v/>
      </c>
      <c r="J385" s="10" t="str">
        <f aca="false">IF(OR(B385="",C385=""),"",ROUND(MOD(C385-B385,1)*1440,0))</f>
        <v/>
      </c>
      <c r="K385" s="9"/>
      <c r="L385" s="9"/>
      <c r="M385" s="9"/>
      <c r="N385" s="9"/>
    </row>
    <row r="386" customFormat="false" ht="15" hidden="false" customHeight="true" outlineLevel="0" collapsed="false">
      <c r="A386" s="8"/>
      <c r="B386" s="13"/>
      <c r="C386" s="13"/>
      <c r="D386" s="9"/>
      <c r="E386" s="9"/>
      <c r="F386" s="9"/>
      <c r="G386" s="9"/>
      <c r="H386" s="9"/>
      <c r="I386" s="14" t="str">
        <f aca="false">IF(OR(G386="",H386=""),"",1-H386/G386)</f>
        <v/>
      </c>
      <c r="J386" s="10" t="str">
        <f aca="false">IF(OR(B386="",C386=""),"",ROUND(MOD(C386-B386,1)*1440,0))</f>
        <v/>
      </c>
      <c r="K386" s="9"/>
      <c r="L386" s="9"/>
      <c r="M386" s="9"/>
      <c r="N386" s="9"/>
    </row>
    <row r="387" customFormat="false" ht="15" hidden="false" customHeight="true" outlineLevel="0" collapsed="false">
      <c r="A387" s="8"/>
      <c r="B387" s="13"/>
      <c r="C387" s="13"/>
      <c r="D387" s="9"/>
      <c r="E387" s="9"/>
      <c r="F387" s="9"/>
      <c r="G387" s="9"/>
      <c r="H387" s="9"/>
      <c r="I387" s="14" t="str">
        <f aca="false">IF(OR(G387="",H387=""),"",1-H387/G387)</f>
        <v/>
      </c>
      <c r="J387" s="10" t="str">
        <f aca="false">IF(OR(B387="",C387=""),"",ROUND(MOD(C387-B387,1)*1440,0))</f>
        <v/>
      </c>
      <c r="K387" s="9"/>
      <c r="L387" s="9"/>
      <c r="M387" s="9"/>
      <c r="N387" s="9"/>
    </row>
    <row r="388" customFormat="false" ht="15" hidden="false" customHeight="true" outlineLevel="0" collapsed="false">
      <c r="A388" s="8"/>
      <c r="B388" s="13"/>
      <c r="C388" s="13"/>
      <c r="D388" s="9"/>
      <c r="E388" s="9"/>
      <c r="F388" s="9"/>
      <c r="G388" s="9"/>
      <c r="H388" s="9"/>
      <c r="I388" s="14" t="str">
        <f aca="false">IF(OR(G388="",H388=""),"",1-H388/G388)</f>
        <v/>
      </c>
      <c r="J388" s="10" t="str">
        <f aca="false">IF(OR(B388="",C388=""),"",ROUND(MOD(C388-B388,1)*1440,0))</f>
        <v/>
      </c>
      <c r="K388" s="9"/>
      <c r="L388" s="9"/>
      <c r="M388" s="9"/>
      <c r="N388" s="9"/>
    </row>
    <row r="389" customFormat="false" ht="15" hidden="false" customHeight="true" outlineLevel="0" collapsed="false">
      <c r="A389" s="8"/>
      <c r="B389" s="13"/>
      <c r="C389" s="13"/>
      <c r="D389" s="9"/>
      <c r="E389" s="9"/>
      <c r="F389" s="9"/>
      <c r="G389" s="9"/>
      <c r="H389" s="9"/>
      <c r="I389" s="14" t="str">
        <f aca="false">IF(OR(G389="",H389=""),"",1-H389/G389)</f>
        <v/>
      </c>
      <c r="J389" s="10" t="str">
        <f aca="false">IF(OR(B389="",C389=""),"",ROUND(MOD(C389-B389,1)*1440,0))</f>
        <v/>
      </c>
      <c r="K389" s="9"/>
      <c r="L389" s="9"/>
      <c r="M389" s="9"/>
      <c r="N389" s="9"/>
    </row>
    <row r="390" customFormat="false" ht="15" hidden="false" customHeight="true" outlineLevel="0" collapsed="false">
      <c r="A390" s="8"/>
      <c r="B390" s="13"/>
      <c r="C390" s="13"/>
      <c r="D390" s="9"/>
      <c r="E390" s="9"/>
      <c r="F390" s="9"/>
      <c r="G390" s="9"/>
      <c r="H390" s="9"/>
      <c r="I390" s="14" t="str">
        <f aca="false">IF(OR(G390="",H390=""),"",1-H390/G390)</f>
        <v/>
      </c>
      <c r="J390" s="10" t="str">
        <f aca="false">IF(OR(B390="",C390=""),"",ROUND(MOD(C390-B390,1)*1440,0))</f>
        <v/>
      </c>
      <c r="K390" s="9"/>
      <c r="L390" s="9"/>
      <c r="M390" s="9"/>
      <c r="N390" s="9"/>
    </row>
    <row r="391" customFormat="false" ht="15" hidden="false" customHeight="true" outlineLevel="0" collapsed="false">
      <c r="A391" s="8"/>
      <c r="B391" s="13"/>
      <c r="C391" s="13"/>
      <c r="D391" s="9"/>
      <c r="E391" s="9"/>
      <c r="F391" s="9"/>
      <c r="G391" s="9"/>
      <c r="H391" s="9"/>
      <c r="I391" s="14" t="str">
        <f aca="false">IF(OR(G391="",H391=""),"",1-H391/G391)</f>
        <v/>
      </c>
      <c r="J391" s="10" t="str">
        <f aca="false">IF(OR(B391="",C391=""),"",ROUND(MOD(C391-B391,1)*1440,0))</f>
        <v/>
      </c>
      <c r="K391" s="9"/>
      <c r="L391" s="9"/>
      <c r="M391" s="9"/>
      <c r="N391" s="9"/>
    </row>
    <row r="392" customFormat="false" ht="15" hidden="false" customHeight="true" outlineLevel="0" collapsed="false">
      <c r="A392" s="8"/>
      <c r="B392" s="13"/>
      <c r="C392" s="13"/>
      <c r="D392" s="9"/>
      <c r="E392" s="9"/>
      <c r="F392" s="9"/>
      <c r="G392" s="9"/>
      <c r="H392" s="9"/>
      <c r="I392" s="14" t="str">
        <f aca="false">IF(OR(G392="",H392=""),"",1-H392/G392)</f>
        <v/>
      </c>
      <c r="J392" s="10" t="str">
        <f aca="false">IF(OR(B392="",C392=""),"",ROUND(MOD(C392-B392,1)*1440,0))</f>
        <v/>
      </c>
      <c r="K392" s="9"/>
      <c r="L392" s="9"/>
      <c r="M392" s="9"/>
      <c r="N392" s="9"/>
    </row>
    <row r="393" customFormat="false" ht="15" hidden="false" customHeight="true" outlineLevel="0" collapsed="false">
      <c r="A393" s="8"/>
      <c r="B393" s="13"/>
      <c r="C393" s="13"/>
      <c r="D393" s="9"/>
      <c r="E393" s="9"/>
      <c r="F393" s="9"/>
      <c r="G393" s="9"/>
      <c r="H393" s="9"/>
      <c r="I393" s="14" t="str">
        <f aca="false">IF(OR(G393="",H393=""),"",1-H393/G393)</f>
        <v/>
      </c>
      <c r="J393" s="10" t="str">
        <f aca="false">IF(OR(B393="",C393=""),"",ROUND(MOD(C393-B393,1)*1440,0))</f>
        <v/>
      </c>
      <c r="K393" s="9"/>
      <c r="L393" s="9"/>
      <c r="M393" s="9"/>
      <c r="N393" s="9"/>
    </row>
    <row r="394" customFormat="false" ht="15" hidden="false" customHeight="true" outlineLevel="0" collapsed="false">
      <c r="A394" s="8"/>
      <c r="B394" s="13"/>
      <c r="C394" s="13"/>
      <c r="D394" s="9"/>
      <c r="E394" s="9"/>
      <c r="F394" s="9"/>
      <c r="G394" s="9"/>
      <c r="H394" s="9"/>
      <c r="I394" s="14" t="str">
        <f aca="false">IF(OR(G394="",H394=""),"",1-H394/G394)</f>
        <v/>
      </c>
      <c r="J394" s="10" t="str">
        <f aca="false">IF(OR(B394="",C394=""),"",ROUND(MOD(C394-B394,1)*1440,0))</f>
        <v/>
      </c>
      <c r="K394" s="9"/>
      <c r="L394" s="9"/>
      <c r="M394" s="9"/>
      <c r="N394" s="9"/>
    </row>
    <row r="395" customFormat="false" ht="15" hidden="false" customHeight="true" outlineLevel="0" collapsed="false">
      <c r="A395" s="8"/>
      <c r="B395" s="13"/>
      <c r="C395" s="13"/>
      <c r="D395" s="9"/>
      <c r="E395" s="9"/>
      <c r="F395" s="9"/>
      <c r="G395" s="9"/>
      <c r="H395" s="9"/>
      <c r="I395" s="14" t="str">
        <f aca="false">IF(OR(G395="",H395=""),"",1-H395/G395)</f>
        <v/>
      </c>
      <c r="J395" s="10" t="str">
        <f aca="false">IF(OR(B395="",C395=""),"",ROUND(MOD(C395-B395,1)*1440,0))</f>
        <v/>
      </c>
      <c r="K395" s="9"/>
      <c r="L395" s="9"/>
      <c r="M395" s="9"/>
      <c r="N395" s="9"/>
    </row>
    <row r="396" customFormat="false" ht="15" hidden="false" customHeight="true" outlineLevel="0" collapsed="false">
      <c r="A396" s="8"/>
      <c r="B396" s="13"/>
      <c r="C396" s="13"/>
      <c r="D396" s="9"/>
      <c r="E396" s="9"/>
      <c r="F396" s="9"/>
      <c r="G396" s="9"/>
      <c r="H396" s="9"/>
      <c r="I396" s="14" t="str">
        <f aca="false">IF(OR(G396="",H396=""),"",1-H396/G396)</f>
        <v/>
      </c>
      <c r="J396" s="10" t="str">
        <f aca="false">IF(OR(B396="",C396=""),"",ROUND(MOD(C396-B396,1)*1440,0))</f>
        <v/>
      </c>
      <c r="K396" s="9"/>
      <c r="L396" s="9"/>
      <c r="M396" s="9"/>
      <c r="N396" s="9"/>
    </row>
    <row r="397" customFormat="false" ht="15" hidden="false" customHeight="true" outlineLevel="0" collapsed="false">
      <c r="A397" s="8"/>
      <c r="B397" s="13"/>
      <c r="C397" s="13"/>
      <c r="D397" s="9"/>
      <c r="E397" s="9"/>
      <c r="F397" s="9"/>
      <c r="G397" s="9"/>
      <c r="H397" s="9"/>
      <c r="I397" s="14" t="str">
        <f aca="false">IF(OR(G397="",H397=""),"",1-H397/G397)</f>
        <v/>
      </c>
      <c r="J397" s="10" t="str">
        <f aca="false">IF(OR(B397="",C397=""),"",ROUND(MOD(C397-B397,1)*1440,0))</f>
        <v/>
      </c>
      <c r="K397" s="9"/>
      <c r="L397" s="9"/>
      <c r="M397" s="9"/>
      <c r="N397" s="9"/>
    </row>
    <row r="398" customFormat="false" ht="15" hidden="false" customHeight="true" outlineLevel="0" collapsed="false">
      <c r="A398" s="8"/>
      <c r="B398" s="13"/>
      <c r="C398" s="13"/>
      <c r="D398" s="9"/>
      <c r="E398" s="9"/>
      <c r="F398" s="9"/>
      <c r="G398" s="9"/>
      <c r="H398" s="9"/>
      <c r="I398" s="14" t="str">
        <f aca="false">IF(OR(G398="",H398=""),"",1-H398/G398)</f>
        <v/>
      </c>
      <c r="J398" s="10" t="str">
        <f aca="false">IF(OR(B398="",C398=""),"",ROUND(MOD(C398-B398,1)*1440,0))</f>
        <v/>
      </c>
      <c r="K398" s="9"/>
      <c r="L398" s="9"/>
      <c r="M398" s="9"/>
      <c r="N398" s="9"/>
    </row>
    <row r="399" customFormat="false" ht="15" hidden="false" customHeight="true" outlineLevel="0" collapsed="false">
      <c r="A399" s="8"/>
      <c r="B399" s="13"/>
      <c r="C399" s="13"/>
      <c r="D399" s="9"/>
      <c r="E399" s="9"/>
      <c r="F399" s="9"/>
      <c r="G399" s="9"/>
      <c r="H399" s="9"/>
      <c r="I399" s="14" t="str">
        <f aca="false">IF(OR(G399="",H399=""),"",1-H399/G399)</f>
        <v/>
      </c>
      <c r="J399" s="10" t="str">
        <f aca="false">IF(OR(B399="",C399=""),"",ROUND(MOD(C399-B399,1)*1440,0))</f>
        <v/>
      </c>
      <c r="K399" s="9"/>
      <c r="L399" s="9"/>
      <c r="M399" s="9"/>
      <c r="N399" s="9"/>
    </row>
    <row r="400" customFormat="false" ht="15" hidden="false" customHeight="true" outlineLevel="0" collapsed="false">
      <c r="A400" s="8"/>
      <c r="B400" s="13"/>
      <c r="C400" s="13"/>
      <c r="D400" s="9"/>
      <c r="E400" s="9"/>
      <c r="F400" s="9"/>
      <c r="G400" s="9"/>
      <c r="H400" s="9"/>
      <c r="I400" s="14" t="str">
        <f aca="false">IF(OR(G400="",H400=""),"",1-H400/G400)</f>
        <v/>
      </c>
      <c r="J400" s="10" t="str">
        <f aca="false">IF(OR(B400="",C400=""),"",ROUND(MOD(C400-B400,1)*1440,0))</f>
        <v/>
      </c>
      <c r="K400" s="9"/>
      <c r="L400" s="9"/>
      <c r="M400" s="9"/>
      <c r="N400" s="9"/>
    </row>
    <row r="401" customFormat="false" ht="15" hidden="false" customHeight="true" outlineLevel="0" collapsed="false">
      <c r="A401" s="8"/>
      <c r="B401" s="13"/>
      <c r="C401" s="13"/>
      <c r="D401" s="9"/>
      <c r="E401" s="9"/>
      <c r="F401" s="9"/>
      <c r="G401" s="9"/>
      <c r="H401" s="9"/>
      <c r="I401" s="14" t="str">
        <f aca="false">IF(OR(G401="",H401=""),"",1-H401/G401)</f>
        <v/>
      </c>
      <c r="J401" s="10" t="str">
        <f aca="false">IF(OR(B401="",C401=""),"",ROUND(MOD(C401-B401,1)*1440,0))</f>
        <v/>
      </c>
      <c r="K401" s="9"/>
      <c r="L401" s="9"/>
      <c r="M401" s="9"/>
      <c r="N401" s="9"/>
    </row>
    <row r="402" customFormat="false" ht="15" hidden="false" customHeight="true" outlineLevel="0" collapsed="false">
      <c r="A402" s="8"/>
      <c r="B402" s="13"/>
      <c r="C402" s="13"/>
      <c r="D402" s="9"/>
      <c r="E402" s="9"/>
      <c r="F402" s="9"/>
      <c r="G402" s="9"/>
      <c r="H402" s="9"/>
      <c r="I402" s="14" t="str">
        <f aca="false">IF(OR(G402="",H402=""),"",1-H402/G402)</f>
        <v/>
      </c>
      <c r="J402" s="10" t="str">
        <f aca="false">IF(OR(B402="",C402=""),"",ROUND(MOD(C402-B402,1)*1440,0))</f>
        <v/>
      </c>
      <c r="K402" s="9"/>
      <c r="L402" s="9"/>
      <c r="M402" s="9"/>
      <c r="N402" s="9"/>
    </row>
    <row r="403" customFormat="false" ht="15" hidden="false" customHeight="true" outlineLevel="0" collapsed="false">
      <c r="A403" s="8"/>
      <c r="B403" s="13"/>
      <c r="C403" s="13"/>
      <c r="D403" s="9"/>
      <c r="E403" s="9"/>
      <c r="F403" s="9"/>
      <c r="G403" s="9"/>
      <c r="H403" s="9"/>
      <c r="I403" s="14" t="str">
        <f aca="false">IF(OR(G403="",H403=""),"",1-H403/G403)</f>
        <v/>
      </c>
      <c r="J403" s="10" t="str">
        <f aca="false">IF(OR(B403="",C403=""),"",ROUND(MOD(C403-B403,1)*1440,0))</f>
        <v/>
      </c>
      <c r="K403" s="9"/>
      <c r="L403" s="9"/>
      <c r="M403" s="9"/>
      <c r="N403" s="9"/>
    </row>
    <row r="404" customFormat="false" ht="15" hidden="false" customHeight="true" outlineLevel="0" collapsed="false">
      <c r="A404" s="8"/>
      <c r="B404" s="13"/>
      <c r="C404" s="13"/>
      <c r="D404" s="9"/>
      <c r="E404" s="9"/>
      <c r="F404" s="9"/>
      <c r="G404" s="9"/>
      <c r="H404" s="9"/>
      <c r="I404" s="14" t="str">
        <f aca="false">IF(OR(G404="",H404=""),"",1-H404/G404)</f>
        <v/>
      </c>
      <c r="J404" s="10" t="str">
        <f aca="false">IF(OR(B404="",C404=""),"",ROUND(MOD(C404-B404,1)*1440,0))</f>
        <v/>
      </c>
      <c r="K404" s="9"/>
      <c r="L404" s="9"/>
      <c r="M404" s="9"/>
      <c r="N404" s="9"/>
    </row>
    <row r="405" customFormat="false" ht="15" hidden="false" customHeight="true" outlineLevel="0" collapsed="false">
      <c r="A405" s="8"/>
      <c r="B405" s="13"/>
      <c r="C405" s="13"/>
      <c r="D405" s="9"/>
      <c r="E405" s="9"/>
      <c r="F405" s="9"/>
      <c r="G405" s="9"/>
      <c r="H405" s="9"/>
      <c r="I405" s="14" t="str">
        <f aca="false">IF(OR(G405="",H405=""),"",1-H405/G405)</f>
        <v/>
      </c>
      <c r="J405" s="10" t="str">
        <f aca="false">IF(OR(B405="",C405=""),"",ROUND(MOD(C405-B405,1)*1440,0))</f>
        <v/>
      </c>
      <c r="K405" s="9"/>
      <c r="L405" s="9"/>
      <c r="M405" s="9"/>
      <c r="N405" s="9"/>
    </row>
    <row r="406" customFormat="false" ht="15" hidden="false" customHeight="true" outlineLevel="0" collapsed="false">
      <c r="A406" s="8"/>
      <c r="B406" s="13"/>
      <c r="C406" s="13"/>
      <c r="D406" s="9"/>
      <c r="E406" s="9"/>
      <c r="F406" s="9"/>
      <c r="G406" s="9"/>
      <c r="H406" s="9"/>
      <c r="I406" s="14" t="str">
        <f aca="false">IF(OR(G406="",H406=""),"",1-H406/G406)</f>
        <v/>
      </c>
      <c r="J406" s="10" t="str">
        <f aca="false">IF(OR(B406="",C406=""),"",ROUND(MOD(C406-B406,1)*1440,0))</f>
        <v/>
      </c>
      <c r="K406" s="9"/>
      <c r="L406" s="9"/>
      <c r="M406" s="9"/>
      <c r="N406" s="9"/>
    </row>
    <row r="407" customFormat="false" ht="15" hidden="false" customHeight="true" outlineLevel="0" collapsed="false">
      <c r="A407" s="8"/>
      <c r="B407" s="13"/>
      <c r="C407" s="13"/>
      <c r="D407" s="9"/>
      <c r="E407" s="9"/>
      <c r="F407" s="9"/>
      <c r="G407" s="9"/>
      <c r="H407" s="9"/>
      <c r="I407" s="14" t="str">
        <f aca="false">IF(OR(G407="",H407=""),"",1-H407/G407)</f>
        <v/>
      </c>
      <c r="J407" s="10" t="str">
        <f aca="false">IF(OR(B407="",C407=""),"",ROUND(MOD(C407-B407,1)*1440,0))</f>
        <v/>
      </c>
      <c r="K407" s="9"/>
      <c r="L407" s="9"/>
      <c r="M407" s="9"/>
      <c r="N407" s="9"/>
    </row>
    <row r="408" customFormat="false" ht="15" hidden="false" customHeight="true" outlineLevel="0" collapsed="false">
      <c r="A408" s="8"/>
      <c r="B408" s="13"/>
      <c r="C408" s="13"/>
      <c r="D408" s="9"/>
      <c r="E408" s="9"/>
      <c r="F408" s="9"/>
      <c r="G408" s="9"/>
      <c r="H408" s="9"/>
      <c r="I408" s="14" t="str">
        <f aca="false">IF(OR(G408="",H408=""),"",1-H408/G408)</f>
        <v/>
      </c>
      <c r="J408" s="10" t="str">
        <f aca="false">IF(OR(B408="",C408=""),"",ROUND(MOD(C408-B408,1)*1440,0))</f>
        <v/>
      </c>
      <c r="K408" s="9"/>
      <c r="L408" s="9"/>
      <c r="M408" s="9"/>
      <c r="N408" s="9"/>
    </row>
    <row r="409" customFormat="false" ht="15" hidden="false" customHeight="true" outlineLevel="0" collapsed="false">
      <c r="A409" s="8"/>
      <c r="B409" s="13"/>
      <c r="C409" s="13"/>
      <c r="D409" s="9"/>
      <c r="E409" s="9"/>
      <c r="F409" s="9"/>
      <c r="G409" s="9"/>
      <c r="H409" s="9"/>
      <c r="I409" s="14" t="str">
        <f aca="false">IF(OR(G409="",H409=""),"",1-H409/G409)</f>
        <v/>
      </c>
      <c r="J409" s="10" t="str">
        <f aca="false">IF(OR(B409="",C409=""),"",ROUND(MOD(C409-B409,1)*1440,0))</f>
        <v/>
      </c>
      <c r="K409" s="9"/>
      <c r="L409" s="9"/>
      <c r="M409" s="9"/>
      <c r="N409" s="9"/>
    </row>
    <row r="410" customFormat="false" ht="15" hidden="false" customHeight="true" outlineLevel="0" collapsed="false">
      <c r="A410" s="8"/>
      <c r="B410" s="13"/>
      <c r="C410" s="13"/>
      <c r="D410" s="9"/>
      <c r="E410" s="9"/>
      <c r="F410" s="9"/>
      <c r="G410" s="9"/>
      <c r="H410" s="9"/>
      <c r="I410" s="14" t="str">
        <f aca="false">IF(OR(G410="",H410=""),"",1-H410/G410)</f>
        <v/>
      </c>
      <c r="J410" s="10" t="str">
        <f aca="false">IF(OR(B410="",C410=""),"",ROUND(MOD(C410-B410,1)*1440,0))</f>
        <v/>
      </c>
      <c r="K410" s="9"/>
      <c r="L410" s="9"/>
      <c r="M410" s="9"/>
      <c r="N410" s="9"/>
    </row>
    <row r="411" customFormat="false" ht="15" hidden="false" customHeight="true" outlineLevel="0" collapsed="false">
      <c r="A411" s="8"/>
      <c r="B411" s="13"/>
      <c r="C411" s="13"/>
      <c r="D411" s="9"/>
      <c r="E411" s="9"/>
      <c r="F411" s="9"/>
      <c r="G411" s="9"/>
      <c r="H411" s="9"/>
      <c r="I411" s="14" t="str">
        <f aca="false">IF(OR(G411="",H411=""),"",1-H411/G411)</f>
        <v/>
      </c>
      <c r="J411" s="10" t="str">
        <f aca="false">IF(OR(B411="",C411=""),"",ROUND(MOD(C411-B411,1)*1440,0))</f>
        <v/>
      </c>
      <c r="K411" s="9"/>
      <c r="L411" s="9"/>
      <c r="M411" s="9"/>
      <c r="N411" s="9"/>
    </row>
    <row r="412" customFormat="false" ht="15" hidden="false" customHeight="true" outlineLevel="0" collapsed="false">
      <c r="A412" s="8"/>
      <c r="B412" s="13"/>
      <c r="C412" s="13"/>
      <c r="D412" s="9"/>
      <c r="E412" s="9"/>
      <c r="F412" s="9"/>
      <c r="G412" s="9"/>
      <c r="H412" s="9"/>
      <c r="I412" s="14" t="str">
        <f aca="false">IF(OR(G412="",H412=""),"",1-H412/G412)</f>
        <v/>
      </c>
      <c r="J412" s="10" t="str">
        <f aca="false">IF(OR(B412="",C412=""),"",ROUND(MOD(C412-B412,1)*1440,0))</f>
        <v/>
      </c>
      <c r="K412" s="9"/>
      <c r="L412" s="9"/>
      <c r="M412" s="9"/>
      <c r="N412" s="9"/>
    </row>
    <row r="413" customFormat="false" ht="15" hidden="false" customHeight="true" outlineLevel="0" collapsed="false">
      <c r="A413" s="8"/>
      <c r="B413" s="13"/>
      <c r="C413" s="13"/>
      <c r="D413" s="9"/>
      <c r="E413" s="9"/>
      <c r="F413" s="9"/>
      <c r="G413" s="9"/>
      <c r="H413" s="9"/>
      <c r="I413" s="14" t="str">
        <f aca="false">IF(OR(G413="",H413=""),"",1-H413/G413)</f>
        <v/>
      </c>
      <c r="J413" s="10" t="str">
        <f aca="false">IF(OR(B413="",C413=""),"",ROUND(MOD(C413-B413,1)*1440,0))</f>
        <v/>
      </c>
      <c r="K413" s="9"/>
      <c r="L413" s="9"/>
      <c r="M413" s="9"/>
      <c r="N413" s="9"/>
    </row>
    <row r="414" customFormat="false" ht="15" hidden="false" customHeight="true" outlineLevel="0" collapsed="false">
      <c r="A414" s="8"/>
      <c r="B414" s="13"/>
      <c r="C414" s="13"/>
      <c r="D414" s="9"/>
      <c r="E414" s="9"/>
      <c r="F414" s="9"/>
      <c r="G414" s="9"/>
      <c r="H414" s="9"/>
      <c r="I414" s="14" t="str">
        <f aca="false">IF(OR(G414="",H414=""),"",1-H414/G414)</f>
        <v/>
      </c>
      <c r="J414" s="10" t="str">
        <f aca="false">IF(OR(B414="",C414=""),"",ROUND(MOD(C414-B414,1)*1440,0))</f>
        <v/>
      </c>
      <c r="K414" s="9"/>
      <c r="L414" s="9"/>
      <c r="M414" s="9"/>
      <c r="N414" s="9"/>
    </row>
    <row r="415" customFormat="false" ht="15" hidden="false" customHeight="true" outlineLevel="0" collapsed="false">
      <c r="A415" s="8"/>
      <c r="B415" s="13"/>
      <c r="C415" s="13"/>
      <c r="D415" s="9"/>
      <c r="E415" s="9"/>
      <c r="F415" s="9"/>
      <c r="G415" s="9"/>
      <c r="H415" s="9"/>
      <c r="I415" s="14" t="str">
        <f aca="false">IF(OR(G415="",H415=""),"",1-H415/G415)</f>
        <v/>
      </c>
      <c r="J415" s="10" t="str">
        <f aca="false">IF(OR(B415="",C415=""),"",ROUND(MOD(C415-B415,1)*1440,0))</f>
        <v/>
      </c>
      <c r="K415" s="9"/>
      <c r="L415" s="9"/>
      <c r="M415" s="9"/>
      <c r="N415" s="9"/>
    </row>
    <row r="416" customFormat="false" ht="15" hidden="false" customHeight="true" outlineLevel="0" collapsed="false">
      <c r="A416" s="8"/>
      <c r="B416" s="13"/>
      <c r="C416" s="13"/>
      <c r="D416" s="9"/>
      <c r="E416" s="9"/>
      <c r="F416" s="9"/>
      <c r="G416" s="9"/>
      <c r="H416" s="9"/>
      <c r="I416" s="14" t="str">
        <f aca="false">IF(OR(G416="",H416=""),"",1-H416/G416)</f>
        <v/>
      </c>
      <c r="J416" s="10" t="str">
        <f aca="false">IF(OR(B416="",C416=""),"",ROUND(MOD(C416-B416,1)*1440,0))</f>
        <v/>
      </c>
      <c r="K416" s="9"/>
      <c r="L416" s="9"/>
      <c r="M416" s="9"/>
      <c r="N416" s="9"/>
    </row>
    <row r="417" customFormat="false" ht="15" hidden="false" customHeight="true" outlineLevel="0" collapsed="false">
      <c r="A417" s="8"/>
      <c r="B417" s="13"/>
      <c r="C417" s="13"/>
      <c r="D417" s="9"/>
      <c r="E417" s="9"/>
      <c r="F417" s="9"/>
      <c r="G417" s="9"/>
      <c r="H417" s="9"/>
      <c r="I417" s="14" t="str">
        <f aca="false">IF(OR(G417="",H417=""),"",1-H417/G417)</f>
        <v/>
      </c>
      <c r="J417" s="10" t="str">
        <f aca="false">IF(OR(B417="",C417=""),"",ROUND(MOD(C417-B417,1)*1440,0))</f>
        <v/>
      </c>
      <c r="K417" s="9"/>
      <c r="L417" s="9"/>
      <c r="M417" s="9"/>
      <c r="N417" s="9"/>
    </row>
    <row r="418" customFormat="false" ht="15" hidden="false" customHeight="true" outlineLevel="0" collapsed="false">
      <c r="A418" s="8"/>
      <c r="B418" s="13"/>
      <c r="C418" s="13"/>
      <c r="D418" s="9"/>
      <c r="E418" s="9"/>
      <c r="F418" s="9"/>
      <c r="G418" s="9"/>
      <c r="H418" s="9"/>
      <c r="I418" s="14" t="str">
        <f aca="false">IF(OR(G418="",H418=""),"",1-H418/G418)</f>
        <v/>
      </c>
      <c r="J418" s="10" t="str">
        <f aca="false">IF(OR(B418="",C418=""),"",ROUND(MOD(C418-B418,1)*1440,0))</f>
        <v/>
      </c>
      <c r="K418" s="9"/>
      <c r="L418" s="9"/>
      <c r="M418" s="9"/>
      <c r="N418" s="9"/>
    </row>
    <row r="419" customFormat="false" ht="15" hidden="false" customHeight="true" outlineLevel="0" collapsed="false">
      <c r="A419" s="8"/>
      <c r="B419" s="13"/>
      <c r="C419" s="13"/>
      <c r="D419" s="9"/>
      <c r="E419" s="9"/>
      <c r="F419" s="9"/>
      <c r="G419" s="9"/>
      <c r="H419" s="9"/>
      <c r="I419" s="14" t="str">
        <f aca="false">IF(OR(G419="",H419=""),"",1-H419/G419)</f>
        <v/>
      </c>
      <c r="J419" s="10" t="str">
        <f aca="false">IF(OR(B419="",C419=""),"",ROUND(MOD(C419-B419,1)*1440,0))</f>
        <v/>
      </c>
      <c r="K419" s="9"/>
      <c r="L419" s="9"/>
      <c r="M419" s="9"/>
      <c r="N419" s="9"/>
    </row>
    <row r="420" customFormat="false" ht="15" hidden="false" customHeight="true" outlineLevel="0" collapsed="false">
      <c r="A420" s="8"/>
      <c r="B420" s="13"/>
      <c r="C420" s="13"/>
      <c r="D420" s="9"/>
      <c r="E420" s="9"/>
      <c r="F420" s="9"/>
      <c r="G420" s="9"/>
      <c r="H420" s="9"/>
      <c r="I420" s="14" t="str">
        <f aca="false">IF(OR(G420="",H420=""),"",1-H420/G420)</f>
        <v/>
      </c>
      <c r="J420" s="10" t="str">
        <f aca="false">IF(OR(B420="",C420=""),"",ROUND(MOD(C420-B420,1)*1440,0))</f>
        <v/>
      </c>
      <c r="K420" s="9"/>
      <c r="L420" s="9"/>
      <c r="M420" s="9"/>
      <c r="N420" s="9"/>
    </row>
    <row r="421" customFormat="false" ht="15" hidden="false" customHeight="true" outlineLevel="0" collapsed="false">
      <c r="A421" s="8"/>
      <c r="B421" s="13"/>
      <c r="C421" s="13"/>
      <c r="D421" s="9"/>
      <c r="E421" s="9"/>
      <c r="F421" s="9"/>
      <c r="G421" s="9"/>
      <c r="H421" s="9"/>
      <c r="I421" s="14" t="str">
        <f aca="false">IF(OR(G421="",H421=""),"",1-H421/G421)</f>
        <v/>
      </c>
      <c r="J421" s="10" t="str">
        <f aca="false">IF(OR(B421="",C421=""),"",ROUND(MOD(C421-B421,1)*1440,0))</f>
        <v/>
      </c>
      <c r="K421" s="9"/>
      <c r="L421" s="9"/>
      <c r="M421" s="9"/>
      <c r="N421" s="9"/>
    </row>
    <row r="422" customFormat="false" ht="15" hidden="false" customHeight="true" outlineLevel="0" collapsed="false">
      <c r="A422" s="8"/>
      <c r="B422" s="13"/>
      <c r="C422" s="13"/>
      <c r="D422" s="9"/>
      <c r="E422" s="9"/>
      <c r="F422" s="9"/>
      <c r="G422" s="9"/>
      <c r="H422" s="9"/>
      <c r="I422" s="14" t="str">
        <f aca="false">IF(OR(G422="",H422=""),"",1-H422/G422)</f>
        <v/>
      </c>
      <c r="J422" s="10" t="str">
        <f aca="false">IF(OR(B422="",C422=""),"",ROUND(MOD(C422-B422,1)*1440,0))</f>
        <v/>
      </c>
      <c r="K422" s="9"/>
      <c r="L422" s="9"/>
      <c r="M422" s="9"/>
      <c r="N422" s="9"/>
    </row>
    <row r="423" customFormat="false" ht="15" hidden="false" customHeight="true" outlineLevel="0" collapsed="false">
      <c r="A423" s="8"/>
      <c r="B423" s="13"/>
      <c r="C423" s="13"/>
      <c r="D423" s="9"/>
      <c r="E423" s="9"/>
      <c r="F423" s="9"/>
      <c r="G423" s="9"/>
      <c r="H423" s="9"/>
      <c r="I423" s="14" t="str">
        <f aca="false">IF(OR(G423="",H423=""),"",1-H423/G423)</f>
        <v/>
      </c>
      <c r="J423" s="10" t="str">
        <f aca="false">IF(OR(B423="",C423=""),"",ROUND(MOD(C423-B423,1)*1440,0))</f>
        <v/>
      </c>
      <c r="K423" s="9"/>
      <c r="L423" s="9"/>
      <c r="M423" s="9"/>
      <c r="N423" s="9"/>
    </row>
    <row r="424" customFormat="false" ht="15" hidden="false" customHeight="true" outlineLevel="0" collapsed="false">
      <c r="A424" s="8"/>
      <c r="B424" s="13"/>
      <c r="C424" s="13"/>
      <c r="D424" s="9"/>
      <c r="E424" s="9"/>
      <c r="F424" s="9"/>
      <c r="G424" s="9"/>
      <c r="H424" s="9"/>
      <c r="I424" s="14" t="str">
        <f aca="false">IF(OR(G424="",H424=""),"",1-H424/G424)</f>
        <v/>
      </c>
      <c r="J424" s="10" t="str">
        <f aca="false">IF(OR(B424="",C424=""),"",ROUND(MOD(C424-B424,1)*1440,0))</f>
        <v/>
      </c>
      <c r="K424" s="9"/>
      <c r="L424" s="9"/>
      <c r="M424" s="9"/>
      <c r="N424" s="9"/>
    </row>
    <row r="425" customFormat="false" ht="15" hidden="false" customHeight="true" outlineLevel="0" collapsed="false">
      <c r="A425" s="8"/>
      <c r="B425" s="13"/>
      <c r="C425" s="13"/>
      <c r="D425" s="9"/>
      <c r="E425" s="9"/>
      <c r="F425" s="9"/>
      <c r="G425" s="9"/>
      <c r="H425" s="9"/>
      <c r="I425" s="14" t="str">
        <f aca="false">IF(OR(G425="",H425=""),"",1-H425/G425)</f>
        <v/>
      </c>
      <c r="J425" s="10" t="str">
        <f aca="false">IF(OR(B425="",C425=""),"",ROUND(MOD(C425-B425,1)*1440,0))</f>
        <v/>
      </c>
      <c r="K425" s="9"/>
      <c r="L425" s="9"/>
      <c r="M425" s="9"/>
      <c r="N425" s="9"/>
    </row>
    <row r="426" customFormat="false" ht="15" hidden="false" customHeight="true" outlineLevel="0" collapsed="false">
      <c r="A426" s="8"/>
      <c r="B426" s="13"/>
      <c r="C426" s="13"/>
      <c r="D426" s="9"/>
      <c r="E426" s="9"/>
      <c r="F426" s="9"/>
      <c r="G426" s="9"/>
      <c r="H426" s="9"/>
      <c r="I426" s="14" t="str">
        <f aca="false">IF(OR(G426="",H426=""),"",1-H426/G426)</f>
        <v/>
      </c>
      <c r="J426" s="10" t="str">
        <f aca="false">IF(OR(B426="",C426=""),"",ROUND(MOD(C426-B426,1)*1440,0))</f>
        <v/>
      </c>
      <c r="K426" s="9"/>
      <c r="L426" s="9"/>
      <c r="M426" s="9"/>
      <c r="N426" s="9"/>
    </row>
    <row r="427" customFormat="false" ht="15" hidden="false" customHeight="true" outlineLevel="0" collapsed="false">
      <c r="A427" s="8"/>
      <c r="B427" s="13"/>
      <c r="C427" s="13"/>
      <c r="D427" s="9"/>
      <c r="E427" s="9"/>
      <c r="F427" s="9"/>
      <c r="G427" s="9"/>
      <c r="H427" s="9"/>
      <c r="I427" s="14" t="str">
        <f aca="false">IF(OR(G427="",H427=""),"",1-H427/G427)</f>
        <v/>
      </c>
      <c r="J427" s="10" t="str">
        <f aca="false">IF(OR(B427="",C427=""),"",ROUND(MOD(C427-B427,1)*1440,0))</f>
        <v/>
      </c>
      <c r="K427" s="9"/>
      <c r="L427" s="9"/>
      <c r="M427" s="9"/>
      <c r="N427" s="9"/>
    </row>
    <row r="428" customFormat="false" ht="15" hidden="false" customHeight="true" outlineLevel="0" collapsed="false">
      <c r="A428" s="8"/>
      <c r="B428" s="13"/>
      <c r="C428" s="13"/>
      <c r="D428" s="9"/>
      <c r="E428" s="9"/>
      <c r="F428" s="9"/>
      <c r="G428" s="9"/>
      <c r="H428" s="9"/>
      <c r="I428" s="14" t="str">
        <f aca="false">IF(OR(G428="",H428=""),"",1-H428/G428)</f>
        <v/>
      </c>
      <c r="J428" s="10" t="str">
        <f aca="false">IF(OR(B428="",C428=""),"",ROUND(MOD(C428-B428,1)*1440,0))</f>
        <v/>
      </c>
      <c r="K428" s="9"/>
      <c r="L428" s="9"/>
      <c r="M428" s="9"/>
      <c r="N428" s="9"/>
    </row>
    <row r="429" customFormat="false" ht="15" hidden="false" customHeight="true" outlineLevel="0" collapsed="false">
      <c r="A429" s="8"/>
      <c r="B429" s="13"/>
      <c r="C429" s="13"/>
      <c r="D429" s="9"/>
      <c r="E429" s="9"/>
      <c r="F429" s="9"/>
      <c r="G429" s="9"/>
      <c r="H429" s="9"/>
      <c r="I429" s="14" t="str">
        <f aca="false">IF(OR(G429="",H429=""),"",1-H429/G429)</f>
        <v/>
      </c>
      <c r="J429" s="10" t="str">
        <f aca="false">IF(OR(B429="",C429=""),"",ROUND(MOD(C429-B429,1)*1440,0))</f>
        <v/>
      </c>
      <c r="K429" s="9"/>
      <c r="L429" s="9"/>
      <c r="M429" s="9"/>
      <c r="N429" s="9"/>
    </row>
    <row r="430" customFormat="false" ht="15" hidden="false" customHeight="true" outlineLevel="0" collapsed="false">
      <c r="A430" s="8"/>
      <c r="B430" s="13"/>
      <c r="C430" s="13"/>
      <c r="D430" s="9"/>
      <c r="E430" s="9"/>
      <c r="F430" s="9"/>
      <c r="G430" s="9"/>
      <c r="H430" s="9"/>
      <c r="I430" s="14" t="str">
        <f aca="false">IF(OR(G430="",H430=""),"",1-H430/G430)</f>
        <v/>
      </c>
      <c r="J430" s="10" t="str">
        <f aca="false">IF(OR(B430="",C430=""),"",ROUND(MOD(C430-B430,1)*1440,0))</f>
        <v/>
      </c>
      <c r="K430" s="9"/>
      <c r="L430" s="9"/>
      <c r="M430" s="9"/>
      <c r="N430" s="9"/>
    </row>
    <row r="431" customFormat="false" ht="15" hidden="false" customHeight="true" outlineLevel="0" collapsed="false">
      <c r="A431" s="8"/>
      <c r="B431" s="13"/>
      <c r="C431" s="13"/>
      <c r="D431" s="9"/>
      <c r="E431" s="9"/>
      <c r="F431" s="9"/>
      <c r="G431" s="9"/>
      <c r="H431" s="9"/>
      <c r="I431" s="14" t="str">
        <f aca="false">IF(OR(G431="",H431=""),"",1-H431/G431)</f>
        <v/>
      </c>
      <c r="J431" s="10" t="str">
        <f aca="false">IF(OR(B431="",C431=""),"",ROUND(MOD(C431-B431,1)*1440,0))</f>
        <v/>
      </c>
      <c r="K431" s="9"/>
      <c r="L431" s="9"/>
      <c r="M431" s="9"/>
      <c r="N431" s="9"/>
    </row>
    <row r="432" customFormat="false" ht="15" hidden="false" customHeight="true" outlineLevel="0" collapsed="false">
      <c r="A432" s="8"/>
      <c r="B432" s="13"/>
      <c r="C432" s="13"/>
      <c r="D432" s="9"/>
      <c r="E432" s="9"/>
      <c r="F432" s="9"/>
      <c r="G432" s="9"/>
      <c r="H432" s="9"/>
      <c r="I432" s="14" t="str">
        <f aca="false">IF(OR(G432="",H432=""),"",1-H432/G432)</f>
        <v/>
      </c>
      <c r="J432" s="10" t="str">
        <f aca="false">IF(OR(B432="",C432=""),"",ROUND(MOD(C432-B432,1)*1440,0))</f>
        <v/>
      </c>
      <c r="K432" s="9"/>
      <c r="L432" s="9"/>
      <c r="M432" s="9"/>
      <c r="N432" s="9"/>
    </row>
    <row r="433" customFormat="false" ht="15" hidden="false" customHeight="true" outlineLevel="0" collapsed="false">
      <c r="A433" s="8"/>
      <c r="B433" s="13"/>
      <c r="C433" s="13"/>
      <c r="D433" s="9"/>
      <c r="E433" s="9"/>
      <c r="F433" s="9"/>
      <c r="G433" s="9"/>
      <c r="H433" s="9"/>
      <c r="I433" s="14" t="str">
        <f aca="false">IF(OR(G433="",H433=""),"",1-H433/G433)</f>
        <v/>
      </c>
      <c r="J433" s="10" t="str">
        <f aca="false">IF(OR(B433="",C433=""),"",ROUND(MOD(C433-B433,1)*1440,0))</f>
        <v/>
      </c>
      <c r="K433" s="9"/>
      <c r="L433" s="9"/>
      <c r="M433" s="9"/>
      <c r="N433" s="9"/>
    </row>
    <row r="434" customFormat="false" ht="15" hidden="false" customHeight="true" outlineLevel="0" collapsed="false">
      <c r="A434" s="8"/>
      <c r="B434" s="13"/>
      <c r="C434" s="13"/>
      <c r="D434" s="9"/>
      <c r="E434" s="9"/>
      <c r="F434" s="9"/>
      <c r="G434" s="9"/>
      <c r="H434" s="9"/>
      <c r="I434" s="14" t="str">
        <f aca="false">IF(OR(G434="",H434=""),"",1-H434/G434)</f>
        <v/>
      </c>
      <c r="J434" s="10" t="str">
        <f aca="false">IF(OR(B434="",C434=""),"",ROUND(MOD(C434-B434,1)*1440,0))</f>
        <v/>
      </c>
      <c r="K434" s="9"/>
      <c r="L434" s="9"/>
      <c r="M434" s="9"/>
      <c r="N434" s="9"/>
    </row>
    <row r="435" customFormat="false" ht="15" hidden="false" customHeight="true" outlineLevel="0" collapsed="false">
      <c r="A435" s="8"/>
      <c r="B435" s="13"/>
      <c r="C435" s="13"/>
      <c r="D435" s="9"/>
      <c r="E435" s="9"/>
      <c r="F435" s="9"/>
      <c r="G435" s="9"/>
      <c r="H435" s="9"/>
      <c r="I435" s="14" t="str">
        <f aca="false">IF(OR(G435="",H435=""),"",1-H435/G435)</f>
        <v/>
      </c>
      <c r="J435" s="10" t="str">
        <f aca="false">IF(OR(B435="",C435=""),"",ROUND(MOD(C435-B435,1)*1440,0))</f>
        <v/>
      </c>
      <c r="K435" s="9"/>
      <c r="L435" s="9"/>
      <c r="M435" s="9"/>
      <c r="N435" s="9"/>
    </row>
    <row r="436" customFormat="false" ht="15" hidden="false" customHeight="true" outlineLevel="0" collapsed="false">
      <c r="A436" s="8"/>
      <c r="B436" s="13"/>
      <c r="C436" s="13"/>
      <c r="D436" s="9"/>
      <c r="E436" s="9"/>
      <c r="F436" s="9"/>
      <c r="G436" s="9"/>
      <c r="H436" s="9"/>
      <c r="I436" s="14" t="str">
        <f aca="false">IF(OR(G436="",H436=""),"",1-H436/G436)</f>
        <v/>
      </c>
      <c r="J436" s="10" t="str">
        <f aca="false">IF(OR(B436="",C436=""),"",ROUND(MOD(C436-B436,1)*1440,0))</f>
        <v/>
      </c>
      <c r="K436" s="9"/>
      <c r="L436" s="9"/>
      <c r="M436" s="9"/>
      <c r="N436" s="9"/>
    </row>
    <row r="437" customFormat="false" ht="15" hidden="false" customHeight="true" outlineLevel="0" collapsed="false">
      <c r="A437" s="8"/>
      <c r="B437" s="13"/>
      <c r="C437" s="13"/>
      <c r="D437" s="9"/>
      <c r="E437" s="9"/>
      <c r="F437" s="9"/>
      <c r="G437" s="9"/>
      <c r="H437" s="9"/>
      <c r="I437" s="14" t="str">
        <f aca="false">IF(OR(G437="",H437=""),"",1-H437/G437)</f>
        <v/>
      </c>
      <c r="J437" s="10" t="str">
        <f aca="false">IF(OR(B437="",C437=""),"",ROUND(MOD(C437-B437,1)*1440,0))</f>
        <v/>
      </c>
      <c r="K437" s="9"/>
      <c r="L437" s="9"/>
      <c r="M437" s="9"/>
      <c r="N437" s="9"/>
    </row>
    <row r="438" customFormat="false" ht="15" hidden="false" customHeight="true" outlineLevel="0" collapsed="false">
      <c r="A438" s="8"/>
      <c r="B438" s="13"/>
      <c r="C438" s="13"/>
      <c r="D438" s="9"/>
      <c r="E438" s="9"/>
      <c r="F438" s="9"/>
      <c r="G438" s="9"/>
      <c r="H438" s="9"/>
      <c r="I438" s="14" t="str">
        <f aca="false">IF(OR(G438="",H438=""),"",1-H438/G438)</f>
        <v/>
      </c>
      <c r="J438" s="10" t="str">
        <f aca="false">IF(OR(B438="",C438=""),"",ROUND(MOD(C438-B438,1)*1440,0))</f>
        <v/>
      </c>
      <c r="K438" s="9"/>
      <c r="L438" s="9"/>
      <c r="M438" s="9"/>
      <c r="N438" s="9"/>
    </row>
    <row r="439" customFormat="false" ht="15" hidden="false" customHeight="true" outlineLevel="0" collapsed="false">
      <c r="A439" s="8"/>
      <c r="B439" s="13"/>
      <c r="C439" s="13"/>
      <c r="D439" s="9"/>
      <c r="E439" s="9"/>
      <c r="F439" s="9"/>
      <c r="G439" s="9"/>
      <c r="H439" s="9"/>
      <c r="I439" s="14" t="str">
        <f aca="false">IF(OR(G439="",H439=""),"",1-H439/G439)</f>
        <v/>
      </c>
      <c r="J439" s="10" t="str">
        <f aca="false">IF(OR(B439="",C439=""),"",ROUND(MOD(C439-B439,1)*1440,0))</f>
        <v/>
      </c>
      <c r="K439" s="9"/>
      <c r="L439" s="9"/>
      <c r="M439" s="9"/>
      <c r="N439" s="9"/>
    </row>
    <row r="440" customFormat="false" ht="15" hidden="false" customHeight="true" outlineLevel="0" collapsed="false">
      <c r="A440" s="8"/>
      <c r="B440" s="13"/>
      <c r="C440" s="13"/>
      <c r="D440" s="9"/>
      <c r="E440" s="9"/>
      <c r="F440" s="9"/>
      <c r="G440" s="9"/>
      <c r="H440" s="9"/>
      <c r="I440" s="14" t="str">
        <f aca="false">IF(OR(G440="",H440=""),"",1-H440/G440)</f>
        <v/>
      </c>
      <c r="J440" s="10" t="str">
        <f aca="false">IF(OR(B440="",C440=""),"",ROUND(MOD(C440-B440,1)*1440,0))</f>
        <v/>
      </c>
      <c r="K440" s="9"/>
      <c r="L440" s="9"/>
      <c r="M440" s="9"/>
      <c r="N440" s="9"/>
    </row>
    <row r="441" customFormat="false" ht="15" hidden="false" customHeight="true" outlineLevel="0" collapsed="false">
      <c r="A441" s="8"/>
      <c r="B441" s="13"/>
      <c r="C441" s="13"/>
      <c r="D441" s="9"/>
      <c r="E441" s="9"/>
      <c r="F441" s="9"/>
      <c r="G441" s="9"/>
      <c r="H441" s="9"/>
      <c r="I441" s="14" t="str">
        <f aca="false">IF(OR(G441="",H441=""),"",1-H441/G441)</f>
        <v/>
      </c>
      <c r="J441" s="10" t="str">
        <f aca="false">IF(OR(B441="",C441=""),"",ROUND(MOD(C441-B441,1)*1440,0))</f>
        <v/>
      </c>
      <c r="K441" s="9"/>
      <c r="L441" s="9"/>
      <c r="M441" s="9"/>
      <c r="N441" s="9"/>
    </row>
    <row r="442" customFormat="false" ht="15" hidden="false" customHeight="true" outlineLevel="0" collapsed="false">
      <c r="A442" s="8"/>
      <c r="B442" s="13"/>
      <c r="C442" s="13"/>
      <c r="D442" s="9"/>
      <c r="E442" s="9"/>
      <c r="F442" s="9"/>
      <c r="G442" s="9"/>
      <c r="H442" s="9"/>
      <c r="I442" s="14" t="str">
        <f aca="false">IF(OR(G442="",H442=""),"",1-H442/G442)</f>
        <v/>
      </c>
      <c r="J442" s="10" t="str">
        <f aca="false">IF(OR(B442="",C442=""),"",ROUND(MOD(C442-B442,1)*1440,0))</f>
        <v/>
      </c>
      <c r="K442" s="9"/>
      <c r="L442" s="9"/>
      <c r="M442" s="9"/>
      <c r="N442" s="9"/>
    </row>
    <row r="443" customFormat="false" ht="15" hidden="false" customHeight="true" outlineLevel="0" collapsed="false">
      <c r="A443" s="8"/>
      <c r="B443" s="13"/>
      <c r="C443" s="13"/>
      <c r="D443" s="9"/>
      <c r="E443" s="9"/>
      <c r="F443" s="9"/>
      <c r="G443" s="9"/>
      <c r="H443" s="9"/>
      <c r="I443" s="14" t="str">
        <f aca="false">IF(OR(G443="",H443=""),"",1-H443/G443)</f>
        <v/>
      </c>
      <c r="J443" s="10" t="str">
        <f aca="false">IF(OR(B443="",C443=""),"",ROUND(MOD(C443-B443,1)*1440,0))</f>
        <v/>
      </c>
      <c r="K443" s="9"/>
      <c r="L443" s="9"/>
      <c r="M443" s="9"/>
      <c r="N443" s="9"/>
    </row>
    <row r="444" customFormat="false" ht="15" hidden="false" customHeight="true" outlineLevel="0" collapsed="false">
      <c r="A444" s="8"/>
      <c r="B444" s="13"/>
      <c r="C444" s="13"/>
      <c r="D444" s="9"/>
      <c r="E444" s="9"/>
      <c r="F444" s="9"/>
      <c r="G444" s="9"/>
      <c r="H444" s="9"/>
      <c r="I444" s="14" t="str">
        <f aca="false">IF(OR(G444="",H444=""),"",1-H444/G444)</f>
        <v/>
      </c>
      <c r="J444" s="10" t="str">
        <f aca="false">IF(OR(B444="",C444=""),"",ROUND(MOD(C444-B444,1)*1440,0))</f>
        <v/>
      </c>
      <c r="K444" s="9"/>
      <c r="L444" s="9"/>
      <c r="M444" s="9"/>
      <c r="N444" s="9"/>
    </row>
    <row r="445" customFormat="false" ht="15" hidden="false" customHeight="true" outlineLevel="0" collapsed="false">
      <c r="A445" s="8"/>
      <c r="B445" s="13"/>
      <c r="C445" s="13"/>
      <c r="D445" s="9"/>
      <c r="E445" s="9"/>
      <c r="F445" s="9"/>
      <c r="G445" s="9"/>
      <c r="H445" s="9"/>
      <c r="I445" s="14" t="str">
        <f aca="false">IF(OR(G445="",H445=""),"",1-H445/G445)</f>
        <v/>
      </c>
      <c r="J445" s="10" t="str">
        <f aca="false">IF(OR(B445="",C445=""),"",ROUND(MOD(C445-B445,1)*1440,0))</f>
        <v/>
      </c>
      <c r="K445" s="9"/>
      <c r="L445" s="9"/>
      <c r="M445" s="9"/>
      <c r="N445" s="9"/>
    </row>
    <row r="446" customFormat="false" ht="15" hidden="false" customHeight="true" outlineLevel="0" collapsed="false">
      <c r="A446" s="8"/>
      <c r="B446" s="13"/>
      <c r="C446" s="13"/>
      <c r="D446" s="9"/>
      <c r="E446" s="9"/>
      <c r="F446" s="9"/>
      <c r="G446" s="9"/>
      <c r="H446" s="9"/>
      <c r="I446" s="14" t="str">
        <f aca="false">IF(OR(G446="",H446=""),"",1-H446/G446)</f>
        <v/>
      </c>
      <c r="J446" s="10" t="str">
        <f aca="false">IF(OR(B446="",C446=""),"",ROUND(MOD(C446-B446,1)*1440,0))</f>
        <v/>
      </c>
      <c r="K446" s="9"/>
      <c r="L446" s="9"/>
      <c r="M446" s="9"/>
      <c r="N446" s="9"/>
    </row>
    <row r="447" customFormat="false" ht="15" hidden="false" customHeight="true" outlineLevel="0" collapsed="false">
      <c r="A447" s="8"/>
      <c r="B447" s="13"/>
      <c r="C447" s="13"/>
      <c r="D447" s="9"/>
      <c r="E447" s="9"/>
      <c r="F447" s="9"/>
      <c r="G447" s="9"/>
      <c r="H447" s="9"/>
      <c r="I447" s="14" t="str">
        <f aca="false">IF(OR(G447="",H447=""),"",1-H447/G447)</f>
        <v/>
      </c>
      <c r="J447" s="10" t="str">
        <f aca="false">IF(OR(B447="",C447=""),"",ROUND(MOD(C447-B447,1)*1440,0))</f>
        <v/>
      </c>
      <c r="K447" s="9"/>
      <c r="L447" s="9"/>
      <c r="M447" s="9"/>
      <c r="N447" s="9"/>
    </row>
    <row r="448" customFormat="false" ht="15" hidden="false" customHeight="true" outlineLevel="0" collapsed="false">
      <c r="A448" s="8"/>
      <c r="B448" s="13"/>
      <c r="C448" s="13"/>
      <c r="D448" s="9"/>
      <c r="E448" s="9"/>
      <c r="F448" s="9"/>
      <c r="G448" s="9"/>
      <c r="H448" s="9"/>
      <c r="I448" s="14" t="str">
        <f aca="false">IF(OR(G448="",H448=""),"",1-H448/G448)</f>
        <v/>
      </c>
      <c r="J448" s="10" t="str">
        <f aca="false">IF(OR(B448="",C448=""),"",ROUND(MOD(C448-B448,1)*1440,0))</f>
        <v/>
      </c>
      <c r="K448" s="9"/>
      <c r="L448" s="9"/>
      <c r="M448" s="9"/>
      <c r="N448" s="9"/>
    </row>
    <row r="449" customFormat="false" ht="15" hidden="false" customHeight="true" outlineLevel="0" collapsed="false">
      <c r="A449" s="8"/>
      <c r="B449" s="13"/>
      <c r="C449" s="13"/>
      <c r="D449" s="9"/>
      <c r="E449" s="9"/>
      <c r="F449" s="9"/>
      <c r="G449" s="9"/>
      <c r="H449" s="9"/>
      <c r="I449" s="14" t="str">
        <f aca="false">IF(OR(G449="",H449=""),"",1-H449/G449)</f>
        <v/>
      </c>
      <c r="J449" s="10" t="str">
        <f aca="false">IF(OR(B449="",C449=""),"",ROUND(MOD(C449-B449,1)*1440,0))</f>
        <v/>
      </c>
      <c r="K449" s="9"/>
      <c r="L449" s="9"/>
      <c r="M449" s="9"/>
      <c r="N449" s="9"/>
    </row>
    <row r="450" customFormat="false" ht="15" hidden="false" customHeight="true" outlineLevel="0" collapsed="false">
      <c r="A450" s="8"/>
      <c r="B450" s="13"/>
      <c r="C450" s="13"/>
      <c r="D450" s="9"/>
      <c r="E450" s="9"/>
      <c r="F450" s="9"/>
      <c r="G450" s="9"/>
      <c r="H450" s="9"/>
      <c r="I450" s="14" t="str">
        <f aca="false">IF(OR(G450="",H450=""),"",1-H450/G450)</f>
        <v/>
      </c>
      <c r="J450" s="10" t="str">
        <f aca="false">IF(OR(B450="",C450=""),"",ROUND(MOD(C450-B450,1)*1440,0))</f>
        <v/>
      </c>
      <c r="K450" s="9"/>
      <c r="L450" s="9"/>
      <c r="M450" s="9"/>
      <c r="N450" s="9"/>
    </row>
    <row r="451" customFormat="false" ht="15" hidden="false" customHeight="true" outlineLevel="0" collapsed="false">
      <c r="A451" s="8"/>
      <c r="B451" s="13"/>
      <c r="C451" s="13"/>
      <c r="D451" s="9"/>
      <c r="E451" s="9"/>
      <c r="F451" s="9"/>
      <c r="G451" s="9"/>
      <c r="H451" s="9"/>
      <c r="I451" s="14" t="str">
        <f aca="false">IF(OR(G451="",H451=""),"",1-H451/G451)</f>
        <v/>
      </c>
      <c r="J451" s="10" t="str">
        <f aca="false">IF(OR(B451="",C451=""),"",ROUND(MOD(C451-B451,1)*1440,0))</f>
        <v/>
      </c>
      <c r="K451" s="9"/>
      <c r="L451" s="9"/>
      <c r="M451" s="9"/>
      <c r="N451" s="9"/>
    </row>
    <row r="452" customFormat="false" ht="15" hidden="false" customHeight="true" outlineLevel="0" collapsed="false">
      <c r="A452" s="8"/>
      <c r="B452" s="13"/>
      <c r="C452" s="13"/>
      <c r="D452" s="9"/>
      <c r="E452" s="9"/>
      <c r="F452" s="9"/>
      <c r="G452" s="9"/>
      <c r="H452" s="9"/>
      <c r="I452" s="14" t="str">
        <f aca="false">IF(OR(G452="",H452=""),"",1-H452/G452)</f>
        <v/>
      </c>
      <c r="J452" s="10" t="str">
        <f aca="false">IF(OR(B452="",C452=""),"",ROUND(MOD(C452-B452,1)*1440,0))</f>
        <v/>
      </c>
      <c r="K452" s="9"/>
      <c r="L452" s="9"/>
      <c r="M452" s="9"/>
      <c r="N452" s="9"/>
    </row>
    <row r="453" customFormat="false" ht="15" hidden="false" customHeight="true" outlineLevel="0" collapsed="false">
      <c r="A453" s="8"/>
      <c r="B453" s="13"/>
      <c r="C453" s="13"/>
      <c r="D453" s="9"/>
      <c r="E453" s="9"/>
      <c r="F453" s="9"/>
      <c r="G453" s="9"/>
      <c r="H453" s="9"/>
      <c r="I453" s="14" t="str">
        <f aca="false">IF(OR(G453="",H453=""),"",1-H453/G453)</f>
        <v/>
      </c>
      <c r="J453" s="10" t="str">
        <f aca="false">IF(OR(B453="",C453=""),"",ROUND(MOD(C453-B453,1)*1440,0))</f>
        <v/>
      </c>
      <c r="K453" s="9"/>
      <c r="L453" s="9"/>
      <c r="M453" s="9"/>
      <c r="N453" s="9"/>
    </row>
    <row r="454" customFormat="false" ht="15" hidden="false" customHeight="true" outlineLevel="0" collapsed="false">
      <c r="A454" s="8"/>
      <c r="B454" s="13"/>
      <c r="C454" s="13"/>
      <c r="D454" s="9"/>
      <c r="E454" s="9"/>
      <c r="F454" s="9"/>
      <c r="G454" s="9"/>
      <c r="H454" s="9"/>
      <c r="I454" s="14" t="str">
        <f aca="false">IF(OR(G454="",H454=""),"",1-H454/G454)</f>
        <v/>
      </c>
      <c r="J454" s="10" t="str">
        <f aca="false">IF(OR(B454="",C454=""),"",ROUND(MOD(C454-B454,1)*1440,0))</f>
        <v/>
      </c>
      <c r="K454" s="9"/>
      <c r="L454" s="9"/>
      <c r="M454" s="9"/>
      <c r="N454" s="9"/>
    </row>
    <row r="455" customFormat="false" ht="15" hidden="false" customHeight="true" outlineLevel="0" collapsed="false">
      <c r="A455" s="8"/>
      <c r="B455" s="13"/>
      <c r="C455" s="13"/>
      <c r="D455" s="9"/>
      <c r="E455" s="9"/>
      <c r="F455" s="9"/>
      <c r="G455" s="9"/>
      <c r="H455" s="9"/>
      <c r="I455" s="14" t="str">
        <f aca="false">IF(OR(G455="",H455=""),"",1-H455/G455)</f>
        <v/>
      </c>
      <c r="J455" s="10" t="str">
        <f aca="false">IF(OR(B455="",C455=""),"",ROUND(MOD(C455-B455,1)*1440,0))</f>
        <v/>
      </c>
      <c r="K455" s="9"/>
      <c r="L455" s="9"/>
      <c r="M455" s="9"/>
      <c r="N455" s="9"/>
    </row>
    <row r="456" customFormat="false" ht="15" hidden="false" customHeight="true" outlineLevel="0" collapsed="false">
      <c r="A456" s="8"/>
      <c r="B456" s="13"/>
      <c r="C456" s="13"/>
      <c r="D456" s="9"/>
      <c r="E456" s="9"/>
      <c r="F456" s="9"/>
      <c r="G456" s="9"/>
      <c r="H456" s="9"/>
      <c r="I456" s="14" t="str">
        <f aca="false">IF(OR(G456="",H456=""),"",1-H456/G456)</f>
        <v/>
      </c>
      <c r="J456" s="10" t="str">
        <f aca="false">IF(OR(B456="",C456=""),"",ROUND(MOD(C456-B456,1)*1440,0))</f>
        <v/>
      </c>
      <c r="K456" s="9"/>
      <c r="L456" s="9"/>
      <c r="M456" s="9"/>
      <c r="N456" s="9"/>
    </row>
    <row r="457" customFormat="false" ht="15" hidden="false" customHeight="true" outlineLevel="0" collapsed="false">
      <c r="A457" s="8"/>
      <c r="B457" s="13"/>
      <c r="C457" s="13"/>
      <c r="D457" s="9"/>
      <c r="E457" s="9"/>
      <c r="F457" s="9"/>
      <c r="G457" s="9"/>
      <c r="H457" s="9"/>
      <c r="I457" s="14" t="str">
        <f aca="false">IF(OR(G457="",H457=""),"",1-H457/G457)</f>
        <v/>
      </c>
      <c r="J457" s="10" t="str">
        <f aca="false">IF(OR(B457="",C457=""),"",ROUND(MOD(C457-B457,1)*1440,0))</f>
        <v/>
      </c>
      <c r="K457" s="9"/>
      <c r="L457" s="9"/>
      <c r="M457" s="9"/>
      <c r="N457" s="9"/>
    </row>
    <row r="458" customFormat="false" ht="15" hidden="false" customHeight="true" outlineLevel="0" collapsed="false">
      <c r="A458" s="8"/>
      <c r="B458" s="13"/>
      <c r="C458" s="13"/>
      <c r="D458" s="9"/>
      <c r="E458" s="9"/>
      <c r="F458" s="9"/>
      <c r="G458" s="9"/>
      <c r="H458" s="9"/>
      <c r="I458" s="14" t="str">
        <f aca="false">IF(OR(G458="",H458=""),"",1-H458/G458)</f>
        <v/>
      </c>
      <c r="J458" s="10" t="str">
        <f aca="false">IF(OR(B458="",C458=""),"",ROUND(MOD(C458-B458,1)*1440,0))</f>
        <v/>
      </c>
      <c r="K458" s="9"/>
      <c r="L458" s="9"/>
      <c r="M458" s="9"/>
      <c r="N458" s="9"/>
    </row>
    <row r="459" customFormat="false" ht="15" hidden="false" customHeight="true" outlineLevel="0" collapsed="false">
      <c r="A459" s="8"/>
      <c r="B459" s="13"/>
      <c r="C459" s="13"/>
      <c r="D459" s="9"/>
      <c r="E459" s="9"/>
      <c r="F459" s="9"/>
      <c r="G459" s="9"/>
      <c r="H459" s="9"/>
      <c r="I459" s="14" t="str">
        <f aca="false">IF(OR(G459="",H459=""),"",1-H459/G459)</f>
        <v/>
      </c>
      <c r="J459" s="10" t="str">
        <f aca="false">IF(OR(B459="",C459=""),"",ROUND(MOD(C459-B459,1)*1440,0))</f>
        <v/>
      </c>
      <c r="K459" s="9"/>
      <c r="L459" s="9"/>
      <c r="M459" s="9"/>
      <c r="N459" s="9"/>
    </row>
    <row r="460" customFormat="false" ht="15" hidden="false" customHeight="true" outlineLevel="0" collapsed="false">
      <c r="A460" s="8"/>
      <c r="B460" s="13"/>
      <c r="C460" s="13"/>
      <c r="D460" s="9"/>
      <c r="E460" s="9"/>
      <c r="F460" s="9"/>
      <c r="G460" s="9"/>
      <c r="H460" s="9"/>
      <c r="I460" s="14" t="str">
        <f aca="false">IF(OR(G460="",H460=""),"",1-H460/G460)</f>
        <v/>
      </c>
      <c r="J460" s="10" t="str">
        <f aca="false">IF(OR(B460="",C460=""),"",ROUND(MOD(C460-B460,1)*1440,0))</f>
        <v/>
      </c>
      <c r="K460" s="9"/>
      <c r="L460" s="9"/>
      <c r="M460" s="9"/>
      <c r="N460" s="9"/>
    </row>
    <row r="461" customFormat="false" ht="15" hidden="false" customHeight="true" outlineLevel="0" collapsed="false">
      <c r="A461" s="8"/>
      <c r="B461" s="13"/>
      <c r="C461" s="13"/>
      <c r="D461" s="9"/>
      <c r="E461" s="9"/>
      <c r="F461" s="9"/>
      <c r="G461" s="9"/>
      <c r="H461" s="9"/>
      <c r="I461" s="14" t="str">
        <f aca="false">IF(OR(G461="",H461=""),"",1-H461/G461)</f>
        <v/>
      </c>
      <c r="J461" s="10" t="str">
        <f aca="false">IF(OR(B461="",C461=""),"",ROUND(MOD(C461-B461,1)*1440,0))</f>
        <v/>
      </c>
      <c r="K461" s="9"/>
      <c r="L461" s="9"/>
      <c r="M461" s="9"/>
      <c r="N461" s="9"/>
    </row>
    <row r="462" customFormat="false" ht="15" hidden="false" customHeight="true" outlineLevel="0" collapsed="false">
      <c r="A462" s="8"/>
      <c r="B462" s="13"/>
      <c r="C462" s="13"/>
      <c r="D462" s="9"/>
      <c r="E462" s="9"/>
      <c r="F462" s="9"/>
      <c r="G462" s="9"/>
      <c r="H462" s="9"/>
      <c r="I462" s="14" t="str">
        <f aca="false">IF(OR(G462="",H462=""),"",1-H462/G462)</f>
        <v/>
      </c>
      <c r="J462" s="10" t="str">
        <f aca="false">IF(OR(B462="",C462=""),"",ROUND(MOD(C462-B462,1)*1440,0))</f>
        <v/>
      </c>
      <c r="K462" s="9"/>
      <c r="L462" s="9"/>
      <c r="M462" s="9"/>
      <c r="N462" s="9"/>
    </row>
    <row r="463" customFormat="false" ht="15" hidden="false" customHeight="true" outlineLevel="0" collapsed="false">
      <c r="A463" s="8"/>
      <c r="B463" s="13"/>
      <c r="C463" s="13"/>
      <c r="D463" s="9"/>
      <c r="E463" s="9"/>
      <c r="F463" s="9"/>
      <c r="G463" s="9"/>
      <c r="H463" s="9"/>
      <c r="I463" s="14" t="str">
        <f aca="false">IF(OR(G463="",H463=""),"",1-H463/G463)</f>
        <v/>
      </c>
      <c r="J463" s="10" t="str">
        <f aca="false">IF(OR(B463="",C463=""),"",ROUND(MOD(C463-B463,1)*1440,0))</f>
        <v/>
      </c>
      <c r="K463" s="9"/>
      <c r="L463" s="9"/>
      <c r="M463" s="9"/>
      <c r="N463" s="9"/>
    </row>
    <row r="464" customFormat="false" ht="15" hidden="false" customHeight="true" outlineLevel="0" collapsed="false">
      <c r="A464" s="8"/>
      <c r="B464" s="13"/>
      <c r="C464" s="13"/>
      <c r="D464" s="9"/>
      <c r="E464" s="9"/>
      <c r="F464" s="9"/>
      <c r="G464" s="9"/>
      <c r="H464" s="9"/>
      <c r="I464" s="14" t="str">
        <f aca="false">IF(OR(G464="",H464=""),"",1-H464/G464)</f>
        <v/>
      </c>
      <c r="J464" s="10" t="str">
        <f aca="false">IF(OR(B464="",C464=""),"",ROUND(MOD(C464-B464,1)*1440,0))</f>
        <v/>
      </c>
      <c r="K464" s="9"/>
      <c r="L464" s="9"/>
      <c r="M464" s="9"/>
      <c r="N464" s="9"/>
    </row>
    <row r="465" customFormat="false" ht="15" hidden="false" customHeight="true" outlineLevel="0" collapsed="false">
      <c r="A465" s="8"/>
      <c r="B465" s="13"/>
      <c r="C465" s="13"/>
      <c r="D465" s="9"/>
      <c r="E465" s="9"/>
      <c r="F465" s="9"/>
      <c r="G465" s="9"/>
      <c r="H465" s="9"/>
      <c r="I465" s="14" t="str">
        <f aca="false">IF(OR(G465="",H465=""),"",1-H465/G465)</f>
        <v/>
      </c>
      <c r="J465" s="10" t="str">
        <f aca="false">IF(OR(B465="",C465=""),"",ROUND(MOD(C465-B465,1)*1440,0))</f>
        <v/>
      </c>
      <c r="K465" s="9"/>
      <c r="L465" s="9"/>
      <c r="M465" s="9"/>
      <c r="N465" s="9"/>
    </row>
    <row r="466" customFormat="false" ht="15" hidden="false" customHeight="true" outlineLevel="0" collapsed="false">
      <c r="A466" s="8"/>
      <c r="B466" s="13"/>
      <c r="C466" s="13"/>
      <c r="D466" s="9"/>
      <c r="E466" s="9"/>
      <c r="F466" s="9"/>
      <c r="G466" s="9"/>
      <c r="H466" s="9"/>
      <c r="I466" s="14" t="str">
        <f aca="false">IF(OR(G466="",H466=""),"",1-H466/G466)</f>
        <v/>
      </c>
      <c r="J466" s="10" t="str">
        <f aca="false">IF(OR(B466="",C466=""),"",ROUND(MOD(C466-B466,1)*1440,0))</f>
        <v/>
      </c>
      <c r="K466" s="9"/>
      <c r="L466" s="9"/>
      <c r="M466" s="9"/>
      <c r="N466" s="9"/>
    </row>
    <row r="467" customFormat="false" ht="15" hidden="false" customHeight="true" outlineLevel="0" collapsed="false">
      <c r="A467" s="8"/>
      <c r="B467" s="13"/>
      <c r="C467" s="13"/>
      <c r="D467" s="9"/>
      <c r="E467" s="9"/>
      <c r="F467" s="9"/>
      <c r="G467" s="9"/>
      <c r="H467" s="9"/>
      <c r="I467" s="14" t="str">
        <f aca="false">IF(OR(G467="",H467=""),"",1-H467/G467)</f>
        <v/>
      </c>
      <c r="J467" s="10" t="str">
        <f aca="false">IF(OR(B467="",C467=""),"",ROUND(MOD(C467-B467,1)*1440,0))</f>
        <v/>
      </c>
      <c r="K467" s="9"/>
      <c r="L467" s="9"/>
      <c r="M467" s="9"/>
      <c r="N467" s="9"/>
    </row>
    <row r="468" customFormat="false" ht="15" hidden="false" customHeight="true" outlineLevel="0" collapsed="false">
      <c r="A468" s="8"/>
      <c r="B468" s="13"/>
      <c r="C468" s="13"/>
      <c r="D468" s="9"/>
      <c r="E468" s="9"/>
      <c r="F468" s="9"/>
      <c r="G468" s="9"/>
      <c r="H468" s="9"/>
      <c r="I468" s="14" t="str">
        <f aca="false">IF(OR(G468="",H468=""),"",1-H468/G468)</f>
        <v/>
      </c>
      <c r="J468" s="10" t="str">
        <f aca="false">IF(OR(B468="",C468=""),"",ROUND(MOD(C468-B468,1)*1440,0))</f>
        <v/>
      </c>
      <c r="K468" s="9"/>
      <c r="L468" s="9"/>
      <c r="M468" s="9"/>
      <c r="N468" s="9"/>
    </row>
    <row r="469" customFormat="false" ht="15" hidden="false" customHeight="true" outlineLevel="0" collapsed="false">
      <c r="A469" s="8"/>
      <c r="B469" s="13"/>
      <c r="C469" s="13"/>
      <c r="D469" s="9"/>
      <c r="E469" s="9"/>
      <c r="F469" s="9"/>
      <c r="G469" s="9"/>
      <c r="H469" s="9"/>
      <c r="I469" s="14" t="str">
        <f aca="false">IF(OR(G469="",H469=""),"",1-H469/G469)</f>
        <v/>
      </c>
      <c r="J469" s="10" t="str">
        <f aca="false">IF(OR(B469="",C469=""),"",ROUND(MOD(C469-B469,1)*1440,0))</f>
        <v/>
      </c>
      <c r="K469" s="9"/>
      <c r="L469" s="9"/>
      <c r="M469" s="9"/>
      <c r="N469" s="9"/>
    </row>
    <row r="470" customFormat="false" ht="15" hidden="false" customHeight="true" outlineLevel="0" collapsed="false">
      <c r="A470" s="8"/>
      <c r="B470" s="13"/>
      <c r="C470" s="13"/>
      <c r="D470" s="9"/>
      <c r="E470" s="9"/>
      <c r="F470" s="9"/>
      <c r="G470" s="9"/>
      <c r="H470" s="9"/>
      <c r="I470" s="14" t="str">
        <f aca="false">IF(OR(G470="",H470=""),"",1-H470/G470)</f>
        <v/>
      </c>
      <c r="J470" s="10" t="str">
        <f aca="false">IF(OR(B470="",C470=""),"",ROUND(MOD(C470-B470,1)*1440,0))</f>
        <v/>
      </c>
      <c r="K470" s="9"/>
      <c r="L470" s="9"/>
      <c r="M470" s="9"/>
      <c r="N470" s="9"/>
    </row>
    <row r="471" customFormat="false" ht="15" hidden="false" customHeight="true" outlineLevel="0" collapsed="false">
      <c r="A471" s="8"/>
      <c r="B471" s="13"/>
      <c r="C471" s="13"/>
      <c r="D471" s="9"/>
      <c r="E471" s="9"/>
      <c r="F471" s="9"/>
      <c r="G471" s="9"/>
      <c r="H471" s="9"/>
      <c r="I471" s="14" t="str">
        <f aca="false">IF(OR(G471="",H471=""),"",1-H471/G471)</f>
        <v/>
      </c>
      <c r="J471" s="10" t="str">
        <f aca="false">IF(OR(B471="",C471=""),"",ROUND(MOD(C471-B471,1)*1440,0))</f>
        <v/>
      </c>
      <c r="K471" s="9"/>
      <c r="L471" s="9"/>
      <c r="M471" s="9"/>
      <c r="N471" s="9"/>
    </row>
    <row r="472" customFormat="false" ht="15" hidden="false" customHeight="true" outlineLevel="0" collapsed="false">
      <c r="A472" s="8"/>
      <c r="B472" s="13"/>
      <c r="C472" s="13"/>
      <c r="D472" s="9"/>
      <c r="E472" s="9"/>
      <c r="F472" s="9"/>
      <c r="G472" s="9"/>
      <c r="H472" s="9"/>
      <c r="I472" s="14" t="str">
        <f aca="false">IF(OR(G472="",H472=""),"",1-H472/G472)</f>
        <v/>
      </c>
      <c r="J472" s="10" t="str">
        <f aca="false">IF(OR(B472="",C472=""),"",ROUND(MOD(C472-B472,1)*1440,0))</f>
        <v/>
      </c>
      <c r="K472" s="9"/>
      <c r="L472" s="9"/>
      <c r="M472" s="9"/>
      <c r="N472" s="9"/>
    </row>
    <row r="473" customFormat="false" ht="15" hidden="false" customHeight="true" outlineLevel="0" collapsed="false">
      <c r="A473" s="8"/>
      <c r="B473" s="13"/>
      <c r="C473" s="13"/>
      <c r="D473" s="9"/>
      <c r="E473" s="9"/>
      <c r="F473" s="9"/>
      <c r="G473" s="9"/>
      <c r="H473" s="9"/>
      <c r="I473" s="14" t="str">
        <f aca="false">IF(OR(G473="",H473=""),"",1-H473/G473)</f>
        <v/>
      </c>
      <c r="J473" s="10" t="str">
        <f aca="false">IF(OR(B473="",C473=""),"",ROUND(MOD(C473-B473,1)*1440,0))</f>
        <v/>
      </c>
      <c r="K473" s="9"/>
      <c r="L473" s="9"/>
      <c r="M473" s="9"/>
      <c r="N473" s="9"/>
    </row>
    <row r="474" customFormat="false" ht="15" hidden="false" customHeight="true" outlineLevel="0" collapsed="false">
      <c r="A474" s="8"/>
      <c r="B474" s="13"/>
      <c r="C474" s="13"/>
      <c r="D474" s="9"/>
      <c r="E474" s="9"/>
      <c r="F474" s="9"/>
      <c r="G474" s="9"/>
      <c r="H474" s="9"/>
      <c r="I474" s="14" t="str">
        <f aca="false">IF(OR(G474="",H474=""),"",1-H474/G474)</f>
        <v/>
      </c>
      <c r="J474" s="10" t="str">
        <f aca="false">IF(OR(B474="",C474=""),"",ROUND(MOD(C474-B474,1)*1440,0))</f>
        <v/>
      </c>
      <c r="K474" s="9"/>
      <c r="L474" s="9"/>
      <c r="M474" s="9"/>
      <c r="N474" s="9"/>
    </row>
    <row r="475" customFormat="false" ht="15" hidden="false" customHeight="true" outlineLevel="0" collapsed="false">
      <c r="A475" s="8"/>
      <c r="B475" s="13"/>
      <c r="C475" s="13"/>
      <c r="D475" s="9"/>
      <c r="E475" s="9"/>
      <c r="F475" s="9"/>
      <c r="G475" s="9"/>
      <c r="H475" s="9"/>
      <c r="I475" s="14" t="str">
        <f aca="false">IF(OR(G475="",H475=""),"",1-H475/G475)</f>
        <v/>
      </c>
      <c r="J475" s="10" t="str">
        <f aca="false">IF(OR(B475="",C475=""),"",ROUND(MOD(C475-B475,1)*1440,0))</f>
        <v/>
      </c>
      <c r="K475" s="9"/>
      <c r="L475" s="9"/>
      <c r="M475" s="9"/>
      <c r="N475" s="9"/>
    </row>
    <row r="476" customFormat="false" ht="15" hidden="false" customHeight="true" outlineLevel="0" collapsed="false">
      <c r="A476" s="8"/>
      <c r="B476" s="13"/>
      <c r="C476" s="13"/>
      <c r="D476" s="9"/>
      <c r="E476" s="9"/>
      <c r="F476" s="9"/>
      <c r="G476" s="9"/>
      <c r="H476" s="9"/>
      <c r="I476" s="14" t="str">
        <f aca="false">IF(OR(G476="",H476=""),"",1-H476/G476)</f>
        <v/>
      </c>
      <c r="J476" s="10" t="str">
        <f aca="false">IF(OR(B476="",C476=""),"",ROUND(MOD(C476-B476,1)*1440,0))</f>
        <v/>
      </c>
      <c r="K476" s="9"/>
      <c r="L476" s="9"/>
      <c r="M476" s="9"/>
      <c r="N476" s="9"/>
    </row>
    <row r="477" customFormat="false" ht="15" hidden="false" customHeight="true" outlineLevel="0" collapsed="false">
      <c r="A477" s="8"/>
      <c r="B477" s="13"/>
      <c r="C477" s="13"/>
      <c r="D477" s="9"/>
      <c r="E477" s="9"/>
      <c r="F477" s="9"/>
      <c r="G477" s="9"/>
      <c r="H477" s="9"/>
      <c r="I477" s="14" t="str">
        <f aca="false">IF(OR(G477="",H477=""),"",1-H477/G477)</f>
        <v/>
      </c>
      <c r="J477" s="10" t="str">
        <f aca="false">IF(OR(B477="",C477=""),"",ROUND(MOD(C477-B477,1)*1440,0))</f>
        <v/>
      </c>
      <c r="K477" s="9"/>
      <c r="L477" s="9"/>
      <c r="M477" s="9"/>
      <c r="N477" s="9"/>
    </row>
    <row r="478" customFormat="false" ht="15" hidden="false" customHeight="true" outlineLevel="0" collapsed="false">
      <c r="A478" s="8"/>
      <c r="B478" s="13"/>
      <c r="C478" s="13"/>
      <c r="D478" s="9"/>
      <c r="E478" s="9"/>
      <c r="F478" s="9"/>
      <c r="G478" s="9"/>
      <c r="H478" s="9"/>
      <c r="I478" s="14" t="str">
        <f aca="false">IF(OR(G478="",H478=""),"",1-H478/G478)</f>
        <v/>
      </c>
      <c r="J478" s="10" t="str">
        <f aca="false">IF(OR(B478="",C478=""),"",ROUND(MOD(C478-B478,1)*1440,0))</f>
        <v/>
      </c>
      <c r="K478" s="9"/>
      <c r="L478" s="9"/>
      <c r="M478" s="9"/>
      <c r="N478" s="9"/>
    </row>
    <row r="479" customFormat="false" ht="15" hidden="false" customHeight="true" outlineLevel="0" collapsed="false">
      <c r="A479" s="8"/>
      <c r="B479" s="13"/>
      <c r="C479" s="13"/>
      <c r="D479" s="9"/>
      <c r="E479" s="9"/>
      <c r="F479" s="9"/>
      <c r="G479" s="9"/>
      <c r="H479" s="9"/>
      <c r="I479" s="14" t="str">
        <f aca="false">IF(OR(G479="",H479=""),"",1-H479/G479)</f>
        <v/>
      </c>
      <c r="J479" s="10" t="str">
        <f aca="false">IF(OR(B479="",C479=""),"",ROUND(MOD(C479-B479,1)*1440,0))</f>
        <v/>
      </c>
      <c r="K479" s="9"/>
      <c r="L479" s="9"/>
      <c r="M479" s="9"/>
      <c r="N479" s="9"/>
    </row>
    <row r="480" customFormat="false" ht="15" hidden="false" customHeight="true" outlineLevel="0" collapsed="false">
      <c r="A480" s="8"/>
      <c r="B480" s="13"/>
      <c r="C480" s="13"/>
      <c r="D480" s="9"/>
      <c r="E480" s="9"/>
      <c r="F480" s="9"/>
      <c r="G480" s="9"/>
      <c r="H480" s="9"/>
      <c r="I480" s="14" t="str">
        <f aca="false">IF(OR(G480="",H480=""),"",1-H480/G480)</f>
        <v/>
      </c>
      <c r="J480" s="10" t="str">
        <f aca="false">IF(OR(B480="",C480=""),"",ROUND(MOD(C480-B480,1)*1440,0))</f>
        <v/>
      </c>
      <c r="K480" s="9"/>
      <c r="L480" s="9"/>
      <c r="M480" s="9"/>
      <c r="N480" s="9"/>
    </row>
    <row r="481" customFormat="false" ht="15" hidden="false" customHeight="true" outlineLevel="0" collapsed="false">
      <c r="A481" s="8"/>
      <c r="B481" s="13"/>
      <c r="C481" s="13"/>
      <c r="D481" s="9"/>
      <c r="E481" s="9"/>
      <c r="F481" s="9"/>
      <c r="G481" s="9"/>
      <c r="H481" s="9"/>
      <c r="I481" s="14" t="str">
        <f aca="false">IF(OR(G481="",H481=""),"",1-H481/G481)</f>
        <v/>
      </c>
      <c r="J481" s="10" t="str">
        <f aca="false">IF(OR(B481="",C481=""),"",ROUND(MOD(C481-B481,1)*1440,0))</f>
        <v/>
      </c>
      <c r="K481" s="9"/>
      <c r="L481" s="9"/>
      <c r="M481" s="9"/>
      <c r="N481" s="9"/>
    </row>
    <row r="482" customFormat="false" ht="15" hidden="false" customHeight="true" outlineLevel="0" collapsed="false">
      <c r="A482" s="8"/>
      <c r="B482" s="13"/>
      <c r="C482" s="13"/>
      <c r="D482" s="9"/>
      <c r="E482" s="9"/>
      <c r="F482" s="9"/>
      <c r="G482" s="9"/>
      <c r="H482" s="9"/>
      <c r="I482" s="14" t="str">
        <f aca="false">IF(OR(G482="",H482=""),"",1-H482/G482)</f>
        <v/>
      </c>
      <c r="J482" s="10" t="str">
        <f aca="false">IF(OR(B482="",C482=""),"",ROUND(MOD(C482-B482,1)*1440,0))</f>
        <v/>
      </c>
      <c r="K482" s="9"/>
      <c r="L482" s="9"/>
      <c r="M482" s="9"/>
      <c r="N482" s="9"/>
    </row>
    <row r="483" customFormat="false" ht="15" hidden="false" customHeight="true" outlineLevel="0" collapsed="false">
      <c r="A483" s="8"/>
      <c r="B483" s="13"/>
      <c r="C483" s="13"/>
      <c r="D483" s="9"/>
      <c r="E483" s="9"/>
      <c r="F483" s="9"/>
      <c r="G483" s="9"/>
      <c r="H483" s="9"/>
      <c r="I483" s="14" t="str">
        <f aca="false">IF(OR(G483="",H483=""),"",1-H483/G483)</f>
        <v/>
      </c>
      <c r="J483" s="10" t="str">
        <f aca="false">IF(OR(B483="",C483=""),"",ROUND(MOD(C483-B483,1)*1440,0))</f>
        <v/>
      </c>
      <c r="K483" s="9"/>
      <c r="L483" s="9"/>
      <c r="M483" s="9"/>
      <c r="N483" s="9"/>
    </row>
    <row r="484" customFormat="false" ht="15" hidden="false" customHeight="true" outlineLevel="0" collapsed="false">
      <c r="A484" s="8"/>
      <c r="B484" s="13"/>
      <c r="C484" s="13"/>
      <c r="D484" s="9"/>
      <c r="E484" s="9"/>
      <c r="F484" s="9"/>
      <c r="G484" s="9"/>
      <c r="H484" s="9"/>
      <c r="I484" s="14" t="str">
        <f aca="false">IF(OR(G484="",H484=""),"",1-H484/G484)</f>
        <v/>
      </c>
      <c r="J484" s="10" t="str">
        <f aca="false">IF(OR(B484="",C484=""),"",ROUND(MOD(C484-B484,1)*1440,0))</f>
        <v/>
      </c>
      <c r="K484" s="9"/>
      <c r="L484" s="9"/>
      <c r="M484" s="9"/>
      <c r="N484" s="9"/>
    </row>
    <row r="485" customFormat="false" ht="15" hidden="false" customHeight="true" outlineLevel="0" collapsed="false">
      <c r="A485" s="8"/>
      <c r="B485" s="13"/>
      <c r="C485" s="13"/>
      <c r="D485" s="9"/>
      <c r="E485" s="9"/>
      <c r="F485" s="9"/>
      <c r="G485" s="9"/>
      <c r="H485" s="9"/>
      <c r="I485" s="14" t="str">
        <f aca="false">IF(OR(G485="",H485=""),"",1-H485/G485)</f>
        <v/>
      </c>
      <c r="J485" s="10" t="str">
        <f aca="false">IF(OR(B485="",C485=""),"",ROUND(MOD(C485-B485,1)*1440,0))</f>
        <v/>
      </c>
      <c r="K485" s="9"/>
      <c r="L485" s="9"/>
      <c r="M485" s="9"/>
      <c r="N485" s="9"/>
    </row>
    <row r="486" customFormat="false" ht="15" hidden="false" customHeight="true" outlineLevel="0" collapsed="false">
      <c r="A486" s="8"/>
      <c r="B486" s="13"/>
      <c r="C486" s="13"/>
      <c r="D486" s="9"/>
      <c r="E486" s="9"/>
      <c r="F486" s="9"/>
      <c r="G486" s="9"/>
      <c r="H486" s="9"/>
      <c r="I486" s="14" t="str">
        <f aca="false">IF(OR(G486="",H486=""),"",1-H486/G486)</f>
        <v/>
      </c>
      <c r="J486" s="10" t="str">
        <f aca="false">IF(OR(B486="",C486=""),"",ROUND(MOD(C486-B486,1)*1440,0))</f>
        <v/>
      </c>
      <c r="K486" s="9"/>
      <c r="L486" s="9"/>
      <c r="M486" s="9"/>
      <c r="N486" s="9"/>
    </row>
    <row r="487" customFormat="false" ht="15" hidden="false" customHeight="true" outlineLevel="0" collapsed="false">
      <c r="A487" s="8"/>
      <c r="B487" s="13"/>
      <c r="C487" s="13"/>
      <c r="D487" s="9"/>
      <c r="E487" s="9"/>
      <c r="F487" s="9"/>
      <c r="G487" s="9"/>
      <c r="H487" s="9"/>
      <c r="I487" s="14" t="str">
        <f aca="false">IF(OR(G487="",H487=""),"",1-H487/G487)</f>
        <v/>
      </c>
      <c r="J487" s="10" t="str">
        <f aca="false">IF(OR(B487="",C487=""),"",ROUND(MOD(C487-B487,1)*1440,0))</f>
        <v/>
      </c>
      <c r="K487" s="9"/>
      <c r="L487" s="9"/>
      <c r="M487" s="9"/>
      <c r="N487" s="9"/>
    </row>
    <row r="488" customFormat="false" ht="15" hidden="false" customHeight="true" outlineLevel="0" collapsed="false">
      <c r="A488" s="8"/>
      <c r="B488" s="13"/>
      <c r="C488" s="13"/>
      <c r="D488" s="9"/>
      <c r="E488" s="9"/>
      <c r="F488" s="9"/>
      <c r="G488" s="9"/>
      <c r="H488" s="9"/>
      <c r="I488" s="14" t="str">
        <f aca="false">IF(OR(G488="",H488=""),"",1-H488/G488)</f>
        <v/>
      </c>
      <c r="J488" s="10" t="str">
        <f aca="false">IF(OR(B488="",C488=""),"",ROUND(MOD(C488-B488,1)*1440,0))</f>
        <v/>
      </c>
      <c r="K488" s="9"/>
      <c r="L488" s="9"/>
      <c r="M488" s="9"/>
      <c r="N488" s="9"/>
    </row>
    <row r="489" customFormat="false" ht="15" hidden="false" customHeight="true" outlineLevel="0" collapsed="false">
      <c r="A489" s="8"/>
      <c r="B489" s="13"/>
      <c r="C489" s="13"/>
      <c r="D489" s="9"/>
      <c r="E489" s="9"/>
      <c r="F489" s="9"/>
      <c r="G489" s="9"/>
      <c r="H489" s="9"/>
      <c r="I489" s="14" t="str">
        <f aca="false">IF(OR(G489="",H489=""),"",1-H489/G489)</f>
        <v/>
      </c>
      <c r="J489" s="10" t="str">
        <f aca="false">IF(OR(B489="",C489=""),"",ROUND(MOD(C489-B489,1)*1440,0))</f>
        <v/>
      </c>
      <c r="K489" s="9"/>
      <c r="L489" s="9"/>
      <c r="M489" s="9"/>
      <c r="N489" s="9"/>
    </row>
    <row r="490" customFormat="false" ht="15" hidden="false" customHeight="true" outlineLevel="0" collapsed="false">
      <c r="A490" s="8"/>
      <c r="B490" s="13"/>
      <c r="C490" s="13"/>
      <c r="D490" s="9"/>
      <c r="E490" s="9"/>
      <c r="F490" s="9"/>
      <c r="G490" s="9"/>
      <c r="H490" s="9"/>
      <c r="I490" s="14" t="str">
        <f aca="false">IF(OR(G490="",H490=""),"",1-H490/G490)</f>
        <v/>
      </c>
      <c r="J490" s="10" t="str">
        <f aca="false">IF(OR(B490="",C490=""),"",ROUND(MOD(C490-B490,1)*1440,0))</f>
        <v/>
      </c>
      <c r="K490" s="9"/>
      <c r="L490" s="9"/>
      <c r="M490" s="9"/>
      <c r="N490" s="9"/>
    </row>
    <row r="491" customFormat="false" ht="15" hidden="false" customHeight="true" outlineLevel="0" collapsed="false">
      <c r="A491" s="8"/>
      <c r="B491" s="13"/>
      <c r="C491" s="13"/>
      <c r="D491" s="9"/>
      <c r="E491" s="9"/>
      <c r="F491" s="9"/>
      <c r="G491" s="9"/>
      <c r="H491" s="9"/>
      <c r="I491" s="14" t="str">
        <f aca="false">IF(OR(G491="",H491=""),"",1-H491/G491)</f>
        <v/>
      </c>
      <c r="J491" s="10" t="str">
        <f aca="false">IF(OR(B491="",C491=""),"",ROUND(MOD(C491-B491,1)*1440,0))</f>
        <v/>
      </c>
      <c r="K491" s="9"/>
      <c r="L491" s="9"/>
      <c r="M491" s="9"/>
      <c r="N491" s="9"/>
    </row>
    <row r="492" customFormat="false" ht="15" hidden="false" customHeight="true" outlineLevel="0" collapsed="false">
      <c r="A492" s="8"/>
      <c r="B492" s="13"/>
      <c r="C492" s="13"/>
      <c r="D492" s="9"/>
      <c r="E492" s="9"/>
      <c r="F492" s="9"/>
      <c r="G492" s="9"/>
      <c r="H492" s="9"/>
      <c r="I492" s="14" t="str">
        <f aca="false">IF(OR(G492="",H492=""),"",1-H492/G492)</f>
        <v/>
      </c>
      <c r="J492" s="10" t="str">
        <f aca="false">IF(OR(B492="",C492=""),"",ROUND(MOD(C492-B492,1)*1440,0))</f>
        <v/>
      </c>
      <c r="K492" s="9"/>
      <c r="L492" s="9"/>
      <c r="M492" s="9"/>
      <c r="N492" s="9"/>
    </row>
    <row r="493" customFormat="false" ht="15" hidden="false" customHeight="true" outlineLevel="0" collapsed="false">
      <c r="A493" s="8"/>
      <c r="B493" s="13"/>
      <c r="C493" s="13"/>
      <c r="D493" s="9"/>
      <c r="E493" s="9"/>
      <c r="F493" s="9"/>
      <c r="G493" s="9"/>
      <c r="H493" s="9"/>
      <c r="I493" s="14" t="str">
        <f aca="false">IF(OR(G493="",H493=""),"",1-H493/G493)</f>
        <v/>
      </c>
      <c r="J493" s="10" t="str">
        <f aca="false">IF(OR(B493="",C493=""),"",ROUND(MOD(C493-B493,1)*1440,0))</f>
        <v/>
      </c>
      <c r="K493" s="9"/>
      <c r="L493" s="9"/>
      <c r="M493" s="9"/>
      <c r="N493" s="9"/>
    </row>
    <row r="494" customFormat="false" ht="15" hidden="false" customHeight="true" outlineLevel="0" collapsed="false">
      <c r="A494" s="8"/>
      <c r="B494" s="13"/>
      <c r="C494" s="13"/>
      <c r="D494" s="9"/>
      <c r="E494" s="9"/>
      <c r="F494" s="9"/>
      <c r="G494" s="9"/>
      <c r="H494" s="9"/>
      <c r="I494" s="14" t="str">
        <f aca="false">IF(OR(G494="",H494=""),"",1-H494/G494)</f>
        <v/>
      </c>
      <c r="J494" s="10" t="str">
        <f aca="false">IF(OR(B494="",C494=""),"",ROUND(MOD(C494-B494,1)*1440,0))</f>
        <v/>
      </c>
      <c r="K494" s="9"/>
      <c r="L494" s="9"/>
      <c r="M494" s="9"/>
      <c r="N494" s="9"/>
    </row>
    <row r="495" customFormat="false" ht="15" hidden="false" customHeight="true" outlineLevel="0" collapsed="false">
      <c r="A495" s="8"/>
      <c r="B495" s="13"/>
      <c r="C495" s="13"/>
      <c r="D495" s="9"/>
      <c r="E495" s="9"/>
      <c r="F495" s="9"/>
      <c r="G495" s="9"/>
      <c r="H495" s="9"/>
      <c r="I495" s="14" t="str">
        <f aca="false">IF(OR(G495="",H495=""),"",1-H495/G495)</f>
        <v/>
      </c>
      <c r="J495" s="10" t="str">
        <f aca="false">IF(OR(B495="",C495=""),"",ROUND(MOD(C495-B495,1)*1440,0))</f>
        <v/>
      </c>
      <c r="K495" s="9"/>
      <c r="L495" s="9"/>
      <c r="M495" s="9"/>
      <c r="N495" s="9"/>
    </row>
    <row r="496" customFormat="false" ht="15" hidden="false" customHeight="true" outlineLevel="0" collapsed="false">
      <c r="A496" s="8"/>
      <c r="B496" s="13"/>
      <c r="C496" s="13"/>
      <c r="D496" s="9"/>
      <c r="E496" s="9"/>
      <c r="F496" s="9"/>
      <c r="G496" s="9"/>
      <c r="H496" s="9"/>
      <c r="I496" s="14" t="str">
        <f aca="false">IF(OR(G496="",H496=""),"",1-H496/G496)</f>
        <v/>
      </c>
      <c r="J496" s="10" t="str">
        <f aca="false">IF(OR(B496="",C496=""),"",ROUND(MOD(C496-B496,1)*1440,0))</f>
        <v/>
      </c>
      <c r="K496" s="9"/>
      <c r="L496" s="9"/>
      <c r="M496" s="9"/>
      <c r="N496" s="9"/>
    </row>
    <row r="497" customFormat="false" ht="15" hidden="false" customHeight="true" outlineLevel="0" collapsed="false">
      <c r="A497" s="8"/>
      <c r="B497" s="13"/>
      <c r="C497" s="13"/>
      <c r="D497" s="9"/>
      <c r="E497" s="9"/>
      <c r="F497" s="9"/>
      <c r="G497" s="9"/>
      <c r="H497" s="9"/>
      <c r="I497" s="14" t="str">
        <f aca="false">IF(OR(G497="",H497=""),"",1-H497/G497)</f>
        <v/>
      </c>
      <c r="J497" s="10" t="str">
        <f aca="false">IF(OR(B497="",C497=""),"",ROUND(MOD(C497-B497,1)*1440,0))</f>
        <v/>
      </c>
      <c r="K497" s="9"/>
      <c r="L497" s="9"/>
      <c r="M497" s="9"/>
      <c r="N497" s="9"/>
    </row>
    <row r="498" customFormat="false" ht="15" hidden="false" customHeight="true" outlineLevel="0" collapsed="false">
      <c r="A498" s="8"/>
      <c r="B498" s="13"/>
      <c r="C498" s="13"/>
      <c r="D498" s="9"/>
      <c r="E498" s="9"/>
      <c r="F498" s="9"/>
      <c r="G498" s="9"/>
      <c r="H498" s="9"/>
      <c r="I498" s="14" t="str">
        <f aca="false">IF(OR(G498="",H498=""),"",1-H498/G498)</f>
        <v/>
      </c>
      <c r="J498" s="10" t="str">
        <f aca="false">IF(OR(B498="",C498=""),"",ROUND(MOD(C498-B498,1)*1440,0))</f>
        <v/>
      </c>
      <c r="K498" s="9"/>
      <c r="L498" s="9"/>
      <c r="M498" s="9"/>
      <c r="N498" s="9"/>
    </row>
    <row r="499" customFormat="false" ht="15" hidden="false" customHeight="true" outlineLevel="0" collapsed="false">
      <c r="A499" s="8"/>
      <c r="B499" s="13"/>
      <c r="C499" s="13"/>
      <c r="D499" s="9"/>
      <c r="E499" s="9"/>
      <c r="F499" s="9"/>
      <c r="G499" s="9"/>
      <c r="H499" s="9"/>
      <c r="I499" s="14" t="str">
        <f aca="false">IF(OR(G499="",H499=""),"",1-H499/G499)</f>
        <v/>
      </c>
      <c r="J499" s="10" t="str">
        <f aca="false">IF(OR(B499="",C499=""),"",ROUND(MOD(C499-B499,1)*1440,0))</f>
        <v/>
      </c>
      <c r="K499" s="9"/>
      <c r="L499" s="9"/>
      <c r="M499" s="9"/>
      <c r="N499" s="9"/>
    </row>
    <row r="500" customFormat="false" ht="15" hidden="false" customHeight="true" outlineLevel="0" collapsed="false">
      <c r="A500" s="8"/>
      <c r="B500" s="13"/>
      <c r="C500" s="13"/>
      <c r="D500" s="9"/>
      <c r="E500" s="9"/>
      <c r="F500" s="9"/>
      <c r="G500" s="9"/>
      <c r="H500" s="9"/>
      <c r="I500" s="14" t="str">
        <f aca="false">IF(OR(G500="",H500=""),"",1-H500/G500)</f>
        <v/>
      </c>
      <c r="J500" s="10" t="str">
        <f aca="false">IF(OR(B500="",C500=""),"",ROUND(MOD(C500-B500,1)*1440,0))</f>
        <v/>
      </c>
      <c r="K500" s="9"/>
      <c r="L500" s="9"/>
      <c r="M500" s="9"/>
      <c r="N500" s="9"/>
    </row>
    <row r="501" customFormat="false" ht="15" hidden="false" customHeight="true" outlineLevel="0" collapsed="false">
      <c r="A501" s="8"/>
      <c r="B501" s="13"/>
      <c r="C501" s="13"/>
      <c r="D501" s="9"/>
      <c r="E501" s="9"/>
      <c r="F501" s="9"/>
      <c r="G501" s="9"/>
      <c r="H501" s="9"/>
      <c r="I501" s="14" t="str">
        <f aca="false">IF(OR(G501="",H501=""),"",1-H501/G501)</f>
        <v/>
      </c>
      <c r="J501" s="10" t="str">
        <f aca="false">IF(OR(B501="",C501=""),"",ROUND(MOD(C501-B501,1)*1440,0))</f>
        <v/>
      </c>
      <c r="K501" s="9"/>
      <c r="L501" s="9"/>
      <c r="M501" s="9"/>
      <c r="N501" s="9"/>
    </row>
    <row r="502" customFormat="false" ht="15" hidden="false" customHeight="true" outlineLevel="0" collapsed="false">
      <c r="A502" s="8"/>
      <c r="B502" s="13"/>
      <c r="C502" s="13"/>
      <c r="D502" s="9"/>
      <c r="E502" s="9"/>
      <c r="F502" s="9"/>
      <c r="G502" s="9"/>
      <c r="H502" s="9"/>
      <c r="I502" s="14" t="str">
        <f aca="false">IF(OR(G502="",H502=""),"",1-H502/G502)</f>
        <v/>
      </c>
      <c r="J502" s="10" t="str">
        <f aca="false">IF(OR(B502="",C502=""),"",ROUND(MOD(C502-B502,1)*1440,0))</f>
        <v/>
      </c>
      <c r="K502" s="9"/>
      <c r="L502" s="9"/>
      <c r="M502" s="9"/>
      <c r="N502" s="9"/>
    </row>
    <row r="503" customFormat="false" ht="15" hidden="false" customHeight="true" outlineLevel="0" collapsed="false">
      <c r="A503" s="8"/>
      <c r="B503" s="13"/>
      <c r="C503" s="13"/>
      <c r="D503" s="9"/>
      <c r="E503" s="9"/>
      <c r="F503" s="9"/>
      <c r="G503" s="9"/>
      <c r="H503" s="9"/>
      <c r="I503" s="14" t="str">
        <f aca="false">IF(OR(G503="",H503=""),"",1-H503/G503)</f>
        <v/>
      </c>
      <c r="J503" s="10" t="str">
        <f aca="false">IF(OR(B503="",C503=""),"",ROUND(MOD(C503-B503,1)*1440,0))</f>
        <v/>
      </c>
      <c r="K503" s="9"/>
      <c r="L503" s="9"/>
      <c r="M503" s="9"/>
      <c r="N503" s="9"/>
    </row>
  </sheetData>
  <mergeCells count="1">
    <mergeCell ref="A1:N1"/>
  </mergeCells>
  <dataValidations count="5">
    <dataValidation allowBlank="true" error="اكتب تاريخ زي 2026-10-20" errorStyle="stop" operator="greaterThan" showDropDown="false" showErrorMessage="true" showInputMessage="false" sqref="A4:A503" type="date">
      <formula1>44927</formula1>
      <formula2>0</formula2>
    </dataValidation>
    <dataValidation allowBlank="true" error="اكتب رقم بس" errorStyle="stop" operator="between" showDropDown="false" showErrorMessage="true" showInputMessage="false" sqref="D4:D503 G4:H503" type="decimal">
      <formula1>0</formula1>
      <formula2>100000</formula2>
    </dataValidation>
    <dataValidation allowBlank="true" error="اختار من القائمة اللي بتنزل" errorStyle="stop" errorTitle="اختيار من القائمة" operator="between" showDropDown="false" showErrorMessage="true" showInputMessage="false" sqref="E4:E503" type="list">
      <formula1>القوائم!$G$2:$G$7</formula1>
      <formula2>0</formula2>
    </dataValidation>
    <dataValidation allowBlank="true" error="اختار من القائمة اللي بتنزل" errorStyle="stop" errorTitle="اختيار من القائمة" operator="between" showDropDown="false" showErrorMessage="true" showInputMessage="false" sqref="F4:F503" type="list">
      <formula1>القوائم!$E$2:$E$4</formula1>
      <formula2>0</formula2>
    </dataValidation>
    <dataValidation allowBlank="true" error="اختار من القائمة اللي بتنزل" errorStyle="stop" errorTitle="اختيار من القائمة" operator="between" showDropDown="false" showErrorMessage="true" showInputMessage="false" sqref="M4:M503" type="list">
      <formula1>القوائم!$H$2:$H$3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9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36"/>
  </cols>
  <sheetData>
    <row r="1" customFormat="false" ht="15.75" hidden="false" customHeight="true" outlineLevel="0" collapsed="false">
      <c r="A1" s="4" t="s">
        <v>101</v>
      </c>
      <c r="B1" s="4"/>
      <c r="C1" s="4"/>
      <c r="D1" s="4"/>
      <c r="E1" s="4"/>
      <c r="F1" s="4"/>
      <c r="G1" s="4"/>
    </row>
    <row r="2" customFormat="false" ht="33.75" hidden="false" customHeight="true" outlineLevel="0" collapsed="false">
      <c r="A2" s="5" t="s">
        <v>72</v>
      </c>
      <c r="B2" s="5" t="s">
        <v>102</v>
      </c>
      <c r="C2" s="5" t="s">
        <v>103</v>
      </c>
      <c r="D2" s="5" t="s">
        <v>104</v>
      </c>
      <c r="E2" s="5" t="s">
        <v>105</v>
      </c>
      <c r="F2" s="5" t="s">
        <v>106</v>
      </c>
      <c r="G2" s="5" t="s">
        <v>107</v>
      </c>
    </row>
    <row r="3" customFormat="false" ht="15" hidden="false" customHeight="true" outlineLevel="0" collapsed="false">
      <c r="A3" s="6" t="n">
        <v>46316</v>
      </c>
      <c r="B3" s="11" t="n">
        <v>0.583333333333333</v>
      </c>
      <c r="C3" s="7" t="s">
        <v>108</v>
      </c>
      <c r="D3" s="7" t="s">
        <v>75</v>
      </c>
      <c r="E3" s="7" t="n">
        <v>0.2</v>
      </c>
      <c r="F3" s="7" t="s">
        <v>50</v>
      </c>
      <c r="G3" s="7" t="s">
        <v>109</v>
      </c>
    </row>
    <row r="4" customFormat="false" ht="15" hidden="false" customHeight="true" outlineLevel="0" collapsed="false">
      <c r="A4" s="8" t="n">
        <v>46301</v>
      </c>
      <c r="B4" s="13" t="n">
        <v>0.670138888888889</v>
      </c>
      <c r="C4" s="9" t="s">
        <v>108</v>
      </c>
      <c r="D4" s="9" t="s">
        <v>75</v>
      </c>
      <c r="E4" s="9" t="n">
        <v>0.2</v>
      </c>
      <c r="F4" s="9" t="s">
        <v>50</v>
      </c>
      <c r="G4" s="9" t="s">
        <v>110</v>
      </c>
    </row>
    <row r="5" customFormat="false" ht="15" hidden="false" customHeight="true" outlineLevel="0" collapsed="false">
      <c r="A5" s="8" t="n">
        <v>46305</v>
      </c>
      <c r="B5" s="13" t="n">
        <v>0.888888888888889</v>
      </c>
      <c r="C5" s="9" t="s">
        <v>108</v>
      </c>
      <c r="D5" s="9" t="s">
        <v>75</v>
      </c>
      <c r="E5" s="9" t="n">
        <v>0.2</v>
      </c>
      <c r="F5" s="9" t="s">
        <v>50</v>
      </c>
      <c r="G5" s="9" t="s">
        <v>110</v>
      </c>
    </row>
    <row r="6" customFormat="false" ht="15" hidden="false" customHeight="true" outlineLevel="0" collapsed="false">
      <c r="A6" s="8" t="n">
        <v>46308</v>
      </c>
      <c r="B6" s="13" t="n">
        <v>0.381944444444444</v>
      </c>
      <c r="C6" s="9" t="s">
        <v>111</v>
      </c>
      <c r="D6" s="9" t="s">
        <v>75</v>
      </c>
      <c r="E6" s="9" t="n">
        <v>24</v>
      </c>
      <c r="F6" s="9" t="s">
        <v>34</v>
      </c>
      <c r="G6" s="9" t="s">
        <v>112</v>
      </c>
    </row>
    <row r="7" customFormat="false" ht="15" hidden="false" customHeight="true" outlineLevel="0" collapsed="false">
      <c r="A7" s="8" t="n">
        <v>46310</v>
      </c>
      <c r="B7" s="13" t="n">
        <v>0.55</v>
      </c>
      <c r="C7" s="9" t="s">
        <v>108</v>
      </c>
      <c r="D7" s="9" t="s">
        <v>75</v>
      </c>
      <c r="E7" s="9" t="n">
        <v>0.2</v>
      </c>
      <c r="F7" s="9" t="s">
        <v>50</v>
      </c>
      <c r="G7" s="9" t="s">
        <v>110</v>
      </c>
    </row>
    <row r="8" customFormat="false" ht="15" hidden="false" customHeight="true" outlineLevel="0" collapsed="false">
      <c r="A8" s="8"/>
      <c r="B8" s="13"/>
      <c r="C8" s="9"/>
      <c r="D8" s="9"/>
      <c r="E8" s="9"/>
      <c r="F8" s="9"/>
      <c r="G8" s="9"/>
    </row>
    <row r="9" customFormat="false" ht="15" hidden="false" customHeight="true" outlineLevel="0" collapsed="false">
      <c r="A9" s="8"/>
      <c r="B9" s="13"/>
      <c r="C9" s="9"/>
      <c r="D9" s="9"/>
      <c r="E9" s="9"/>
      <c r="F9" s="9"/>
      <c r="G9" s="9"/>
    </row>
    <row r="10" customFormat="false" ht="15" hidden="false" customHeight="true" outlineLevel="0" collapsed="false">
      <c r="A10" s="8"/>
      <c r="B10" s="13"/>
      <c r="C10" s="9"/>
      <c r="D10" s="9"/>
      <c r="E10" s="9"/>
      <c r="F10" s="9"/>
      <c r="G10" s="9"/>
    </row>
    <row r="11" customFormat="false" ht="15" hidden="false" customHeight="true" outlineLevel="0" collapsed="false">
      <c r="A11" s="8"/>
      <c r="B11" s="13"/>
      <c r="C11" s="9"/>
      <c r="D11" s="9"/>
      <c r="E11" s="9"/>
      <c r="F11" s="9"/>
      <c r="G11" s="9"/>
    </row>
    <row r="12" customFormat="false" ht="15" hidden="false" customHeight="true" outlineLevel="0" collapsed="false">
      <c r="A12" s="8"/>
      <c r="B12" s="13"/>
      <c r="C12" s="9"/>
      <c r="D12" s="9"/>
      <c r="E12" s="9"/>
      <c r="F12" s="9"/>
      <c r="G12" s="9"/>
    </row>
    <row r="13" customFormat="false" ht="15" hidden="false" customHeight="true" outlineLevel="0" collapsed="false">
      <c r="A13" s="8"/>
      <c r="B13" s="13"/>
      <c r="C13" s="9"/>
      <c r="D13" s="9"/>
      <c r="E13" s="9"/>
      <c r="F13" s="9"/>
      <c r="G13" s="9"/>
    </row>
    <row r="14" customFormat="false" ht="15" hidden="false" customHeight="true" outlineLevel="0" collapsed="false">
      <c r="A14" s="8"/>
      <c r="B14" s="13"/>
      <c r="C14" s="9"/>
      <c r="D14" s="9"/>
      <c r="E14" s="9"/>
      <c r="F14" s="9"/>
      <c r="G14" s="9"/>
    </row>
    <row r="15" customFormat="false" ht="15" hidden="false" customHeight="true" outlineLevel="0" collapsed="false">
      <c r="A15" s="8"/>
      <c r="B15" s="13"/>
      <c r="C15" s="9"/>
      <c r="D15" s="9"/>
      <c r="E15" s="9"/>
      <c r="F15" s="9"/>
      <c r="G15" s="9"/>
    </row>
    <row r="16" customFormat="false" ht="15" hidden="false" customHeight="true" outlineLevel="0" collapsed="false">
      <c r="A16" s="8"/>
      <c r="B16" s="13"/>
      <c r="C16" s="9"/>
      <c r="D16" s="9"/>
      <c r="E16" s="9"/>
      <c r="F16" s="9"/>
      <c r="G16" s="9"/>
    </row>
    <row r="17" customFormat="false" ht="15" hidden="false" customHeight="true" outlineLevel="0" collapsed="false">
      <c r="A17" s="8"/>
      <c r="B17" s="13"/>
      <c r="C17" s="9"/>
      <c r="D17" s="9"/>
      <c r="E17" s="9"/>
      <c r="F17" s="9"/>
      <c r="G17" s="9"/>
    </row>
    <row r="18" customFormat="false" ht="15" hidden="false" customHeight="true" outlineLevel="0" collapsed="false">
      <c r="A18" s="8"/>
      <c r="B18" s="13"/>
      <c r="C18" s="9"/>
      <c r="D18" s="9"/>
      <c r="E18" s="9"/>
      <c r="F18" s="9"/>
      <c r="G18" s="9"/>
    </row>
    <row r="19" customFormat="false" ht="15" hidden="false" customHeight="true" outlineLevel="0" collapsed="false">
      <c r="A19" s="8"/>
      <c r="B19" s="13"/>
      <c r="C19" s="9"/>
      <c r="D19" s="9"/>
      <c r="E19" s="9"/>
      <c r="F19" s="9"/>
      <c r="G19" s="9"/>
    </row>
    <row r="20" customFormat="false" ht="15" hidden="false" customHeight="true" outlineLevel="0" collapsed="false">
      <c r="A20" s="8"/>
      <c r="B20" s="13"/>
      <c r="C20" s="9"/>
      <c r="D20" s="9"/>
      <c r="E20" s="9"/>
      <c r="F20" s="9"/>
      <c r="G20" s="9"/>
    </row>
    <row r="21" customFormat="false" ht="15" hidden="false" customHeight="true" outlineLevel="0" collapsed="false">
      <c r="A21" s="8"/>
      <c r="B21" s="13"/>
      <c r="C21" s="9"/>
      <c r="D21" s="9"/>
      <c r="E21" s="9"/>
      <c r="F21" s="9"/>
      <c r="G21" s="9"/>
    </row>
    <row r="22" customFormat="false" ht="15" hidden="false" customHeight="true" outlineLevel="0" collapsed="false">
      <c r="A22" s="8"/>
      <c r="B22" s="13"/>
      <c r="C22" s="9"/>
      <c r="D22" s="9"/>
      <c r="E22" s="9"/>
      <c r="F22" s="9"/>
      <c r="G22" s="9"/>
    </row>
    <row r="23" customFormat="false" ht="15" hidden="false" customHeight="true" outlineLevel="0" collapsed="false">
      <c r="A23" s="8"/>
      <c r="B23" s="13"/>
      <c r="C23" s="9"/>
      <c r="D23" s="9"/>
      <c r="E23" s="9"/>
      <c r="F23" s="9"/>
      <c r="G23" s="9"/>
    </row>
    <row r="24" customFormat="false" ht="15" hidden="false" customHeight="true" outlineLevel="0" collapsed="false">
      <c r="A24" s="8"/>
      <c r="B24" s="13"/>
      <c r="C24" s="9"/>
      <c r="D24" s="9"/>
      <c r="E24" s="9"/>
      <c r="F24" s="9"/>
      <c r="G24" s="9"/>
    </row>
    <row r="25" customFormat="false" ht="15" hidden="false" customHeight="true" outlineLevel="0" collapsed="false">
      <c r="A25" s="8"/>
      <c r="B25" s="13"/>
      <c r="C25" s="9"/>
      <c r="D25" s="9"/>
      <c r="E25" s="9"/>
      <c r="F25" s="9"/>
      <c r="G25" s="9"/>
    </row>
    <row r="26" customFormat="false" ht="15" hidden="false" customHeight="true" outlineLevel="0" collapsed="false">
      <c r="A26" s="8"/>
      <c r="B26" s="13"/>
      <c r="C26" s="9"/>
      <c r="D26" s="9"/>
      <c r="E26" s="9"/>
      <c r="F26" s="9"/>
      <c r="G26" s="9"/>
    </row>
    <row r="27" customFormat="false" ht="15" hidden="false" customHeight="true" outlineLevel="0" collapsed="false">
      <c r="A27" s="8"/>
      <c r="B27" s="13"/>
      <c r="C27" s="9"/>
      <c r="D27" s="9"/>
      <c r="E27" s="9"/>
      <c r="F27" s="9"/>
      <c r="G27" s="9"/>
    </row>
    <row r="28" customFormat="false" ht="15" hidden="false" customHeight="true" outlineLevel="0" collapsed="false">
      <c r="A28" s="8"/>
      <c r="B28" s="13"/>
      <c r="C28" s="9"/>
      <c r="D28" s="9"/>
      <c r="E28" s="9"/>
      <c r="F28" s="9"/>
      <c r="G28" s="9"/>
    </row>
    <row r="29" customFormat="false" ht="15" hidden="false" customHeight="true" outlineLevel="0" collapsed="false">
      <c r="A29" s="8"/>
      <c r="B29" s="13"/>
      <c r="C29" s="9"/>
      <c r="D29" s="9"/>
      <c r="E29" s="9"/>
      <c r="F29" s="9"/>
      <c r="G29" s="9"/>
    </row>
    <row r="30" customFormat="false" ht="15" hidden="false" customHeight="true" outlineLevel="0" collapsed="false">
      <c r="A30" s="8"/>
      <c r="B30" s="13"/>
      <c r="C30" s="9"/>
      <c r="D30" s="9"/>
      <c r="E30" s="9"/>
      <c r="F30" s="9"/>
      <c r="G30" s="9"/>
    </row>
    <row r="31" customFormat="false" ht="15" hidden="false" customHeight="true" outlineLevel="0" collapsed="false">
      <c r="A31" s="8"/>
      <c r="B31" s="13"/>
      <c r="C31" s="9"/>
      <c r="D31" s="9"/>
      <c r="E31" s="9"/>
      <c r="F31" s="9"/>
      <c r="G31" s="9"/>
    </row>
    <row r="32" customFormat="false" ht="15" hidden="false" customHeight="true" outlineLevel="0" collapsed="false">
      <c r="A32" s="8"/>
      <c r="B32" s="13"/>
      <c r="C32" s="9"/>
      <c r="D32" s="9"/>
      <c r="E32" s="9"/>
      <c r="F32" s="9"/>
      <c r="G32" s="9"/>
    </row>
    <row r="33" customFormat="false" ht="15" hidden="false" customHeight="true" outlineLevel="0" collapsed="false">
      <c r="A33" s="8"/>
      <c r="B33" s="13"/>
      <c r="C33" s="9"/>
      <c r="D33" s="9"/>
      <c r="E33" s="9"/>
      <c r="F33" s="9"/>
      <c r="G33" s="9"/>
    </row>
    <row r="34" customFormat="false" ht="15" hidden="false" customHeight="true" outlineLevel="0" collapsed="false">
      <c r="A34" s="8"/>
      <c r="B34" s="13"/>
      <c r="C34" s="9"/>
      <c r="D34" s="9"/>
      <c r="E34" s="9"/>
      <c r="F34" s="9"/>
      <c r="G34" s="9"/>
    </row>
    <row r="35" customFormat="false" ht="15" hidden="false" customHeight="true" outlineLevel="0" collapsed="false">
      <c r="A35" s="8"/>
      <c r="B35" s="13"/>
      <c r="C35" s="9"/>
      <c r="D35" s="9"/>
      <c r="E35" s="9"/>
      <c r="F35" s="9"/>
      <c r="G35" s="9"/>
    </row>
    <row r="36" customFormat="false" ht="15" hidden="false" customHeight="true" outlineLevel="0" collapsed="false">
      <c r="A36" s="8"/>
      <c r="B36" s="13"/>
      <c r="C36" s="9"/>
      <c r="D36" s="9"/>
      <c r="E36" s="9"/>
      <c r="F36" s="9"/>
      <c r="G36" s="9"/>
    </row>
    <row r="37" customFormat="false" ht="15" hidden="false" customHeight="true" outlineLevel="0" collapsed="false">
      <c r="A37" s="8"/>
      <c r="B37" s="13"/>
      <c r="C37" s="9"/>
      <c r="D37" s="9"/>
      <c r="E37" s="9"/>
      <c r="F37" s="9"/>
      <c r="G37" s="9"/>
    </row>
    <row r="38" customFormat="false" ht="15" hidden="false" customHeight="true" outlineLevel="0" collapsed="false">
      <c r="A38" s="8"/>
      <c r="B38" s="13"/>
      <c r="C38" s="9"/>
      <c r="D38" s="9"/>
      <c r="E38" s="9"/>
      <c r="F38" s="9"/>
      <c r="G38" s="9"/>
    </row>
    <row r="39" customFormat="false" ht="15" hidden="false" customHeight="true" outlineLevel="0" collapsed="false">
      <c r="A39" s="8"/>
      <c r="B39" s="13"/>
      <c r="C39" s="9"/>
      <c r="D39" s="9"/>
      <c r="E39" s="9"/>
      <c r="F39" s="9"/>
      <c r="G39" s="9"/>
    </row>
    <row r="40" customFormat="false" ht="15" hidden="false" customHeight="true" outlineLevel="0" collapsed="false">
      <c r="A40" s="8"/>
      <c r="B40" s="13"/>
      <c r="C40" s="9"/>
      <c r="D40" s="9"/>
      <c r="E40" s="9"/>
      <c r="F40" s="9"/>
      <c r="G40" s="9"/>
    </row>
    <row r="41" customFormat="false" ht="15" hidden="false" customHeight="true" outlineLevel="0" collapsed="false">
      <c r="A41" s="8"/>
      <c r="B41" s="13"/>
      <c r="C41" s="9"/>
      <c r="D41" s="9"/>
      <c r="E41" s="9"/>
      <c r="F41" s="9"/>
      <c r="G41" s="9"/>
    </row>
    <row r="42" customFormat="false" ht="15" hidden="false" customHeight="true" outlineLevel="0" collapsed="false">
      <c r="A42" s="8"/>
      <c r="B42" s="13"/>
      <c r="C42" s="9"/>
      <c r="D42" s="9"/>
      <c r="E42" s="9"/>
      <c r="F42" s="9"/>
      <c r="G42" s="9"/>
    </row>
    <row r="43" customFormat="false" ht="15" hidden="false" customHeight="true" outlineLevel="0" collapsed="false">
      <c r="A43" s="8"/>
      <c r="B43" s="13"/>
      <c r="C43" s="9"/>
      <c r="D43" s="9"/>
      <c r="E43" s="9"/>
      <c r="F43" s="9"/>
      <c r="G43" s="9"/>
    </row>
    <row r="44" customFormat="false" ht="15" hidden="false" customHeight="true" outlineLevel="0" collapsed="false">
      <c r="A44" s="8"/>
      <c r="B44" s="13"/>
      <c r="C44" s="9"/>
      <c r="D44" s="9"/>
      <c r="E44" s="9"/>
      <c r="F44" s="9"/>
      <c r="G44" s="9"/>
    </row>
    <row r="45" customFormat="false" ht="15" hidden="false" customHeight="true" outlineLevel="0" collapsed="false">
      <c r="A45" s="8"/>
      <c r="B45" s="13"/>
      <c r="C45" s="9"/>
      <c r="D45" s="9"/>
      <c r="E45" s="9"/>
      <c r="F45" s="9"/>
      <c r="G45" s="9"/>
    </row>
    <row r="46" customFormat="false" ht="15" hidden="false" customHeight="true" outlineLevel="0" collapsed="false">
      <c r="A46" s="8"/>
      <c r="B46" s="13"/>
      <c r="C46" s="9"/>
      <c r="D46" s="9"/>
      <c r="E46" s="9"/>
      <c r="F46" s="9"/>
      <c r="G46" s="9"/>
    </row>
    <row r="47" customFormat="false" ht="15" hidden="false" customHeight="true" outlineLevel="0" collapsed="false">
      <c r="A47" s="8"/>
      <c r="B47" s="13"/>
      <c r="C47" s="9"/>
      <c r="D47" s="9"/>
      <c r="E47" s="9"/>
      <c r="F47" s="9"/>
      <c r="G47" s="9"/>
    </row>
    <row r="48" customFormat="false" ht="15" hidden="false" customHeight="true" outlineLevel="0" collapsed="false">
      <c r="A48" s="8"/>
      <c r="B48" s="13"/>
      <c r="C48" s="9"/>
      <c r="D48" s="9"/>
      <c r="E48" s="9"/>
      <c r="F48" s="9"/>
      <c r="G48" s="9"/>
    </row>
    <row r="49" customFormat="false" ht="15" hidden="false" customHeight="true" outlineLevel="0" collapsed="false">
      <c r="A49" s="8"/>
      <c r="B49" s="13"/>
      <c r="C49" s="9"/>
      <c r="D49" s="9"/>
      <c r="E49" s="9"/>
      <c r="F49" s="9"/>
      <c r="G49" s="9"/>
    </row>
    <row r="50" customFormat="false" ht="15" hidden="false" customHeight="true" outlineLevel="0" collapsed="false">
      <c r="A50" s="8"/>
      <c r="B50" s="13"/>
      <c r="C50" s="9"/>
      <c r="D50" s="9"/>
      <c r="E50" s="9"/>
      <c r="F50" s="9"/>
      <c r="G50" s="9"/>
    </row>
    <row r="51" customFormat="false" ht="15" hidden="false" customHeight="true" outlineLevel="0" collapsed="false">
      <c r="A51" s="8"/>
      <c r="B51" s="13"/>
      <c r="C51" s="9"/>
      <c r="D51" s="9"/>
      <c r="E51" s="9"/>
      <c r="F51" s="9"/>
      <c r="G51" s="9"/>
    </row>
    <row r="52" customFormat="false" ht="15" hidden="false" customHeight="true" outlineLevel="0" collapsed="false">
      <c r="A52" s="8"/>
      <c r="B52" s="13"/>
      <c r="C52" s="9"/>
      <c r="D52" s="9"/>
      <c r="E52" s="9"/>
      <c r="F52" s="9"/>
      <c r="G52" s="9"/>
    </row>
    <row r="53" customFormat="false" ht="15" hidden="false" customHeight="true" outlineLevel="0" collapsed="false">
      <c r="A53" s="8"/>
      <c r="B53" s="13"/>
      <c r="C53" s="9"/>
      <c r="D53" s="9"/>
      <c r="E53" s="9"/>
      <c r="F53" s="9"/>
      <c r="G53" s="9"/>
    </row>
    <row r="54" customFormat="false" ht="15" hidden="false" customHeight="true" outlineLevel="0" collapsed="false">
      <c r="A54" s="8"/>
      <c r="B54" s="13"/>
      <c r="C54" s="9"/>
      <c r="D54" s="9"/>
      <c r="E54" s="9"/>
      <c r="F54" s="9"/>
      <c r="G54" s="9"/>
    </row>
    <row r="55" customFormat="false" ht="15" hidden="false" customHeight="true" outlineLevel="0" collapsed="false">
      <c r="A55" s="8"/>
      <c r="B55" s="13"/>
      <c r="C55" s="9"/>
      <c r="D55" s="9"/>
      <c r="E55" s="9"/>
      <c r="F55" s="9"/>
      <c r="G55" s="9"/>
    </row>
    <row r="56" customFormat="false" ht="15" hidden="false" customHeight="true" outlineLevel="0" collapsed="false">
      <c r="A56" s="8"/>
      <c r="B56" s="13"/>
      <c r="C56" s="9"/>
      <c r="D56" s="9"/>
      <c r="E56" s="9"/>
      <c r="F56" s="9"/>
      <c r="G56" s="9"/>
    </row>
    <row r="57" customFormat="false" ht="15" hidden="false" customHeight="true" outlineLevel="0" collapsed="false">
      <c r="A57" s="8"/>
      <c r="B57" s="13"/>
      <c r="C57" s="9"/>
      <c r="D57" s="9"/>
      <c r="E57" s="9"/>
      <c r="F57" s="9"/>
      <c r="G57" s="9"/>
    </row>
    <row r="58" customFormat="false" ht="15" hidden="false" customHeight="true" outlineLevel="0" collapsed="false">
      <c r="A58" s="8"/>
      <c r="B58" s="13"/>
      <c r="C58" s="9"/>
      <c r="D58" s="9"/>
      <c r="E58" s="9"/>
      <c r="F58" s="9"/>
      <c r="G58" s="9"/>
    </row>
    <row r="59" customFormat="false" ht="15" hidden="false" customHeight="true" outlineLevel="0" collapsed="false">
      <c r="A59" s="8"/>
      <c r="B59" s="13"/>
      <c r="C59" s="9"/>
      <c r="D59" s="9"/>
      <c r="E59" s="9"/>
      <c r="F59" s="9"/>
      <c r="G59" s="9"/>
    </row>
    <row r="60" customFormat="false" ht="15" hidden="false" customHeight="true" outlineLevel="0" collapsed="false">
      <c r="A60" s="8"/>
      <c r="B60" s="13"/>
      <c r="C60" s="9"/>
      <c r="D60" s="9"/>
      <c r="E60" s="9"/>
      <c r="F60" s="9"/>
      <c r="G60" s="9"/>
    </row>
    <row r="61" customFormat="false" ht="15" hidden="false" customHeight="true" outlineLevel="0" collapsed="false">
      <c r="A61" s="8"/>
      <c r="B61" s="13"/>
      <c r="C61" s="9"/>
      <c r="D61" s="9"/>
      <c r="E61" s="9"/>
      <c r="F61" s="9"/>
      <c r="G61" s="9"/>
    </row>
    <row r="62" customFormat="false" ht="15" hidden="false" customHeight="true" outlineLevel="0" collapsed="false">
      <c r="A62" s="8"/>
      <c r="B62" s="13"/>
      <c r="C62" s="9"/>
      <c r="D62" s="9"/>
      <c r="E62" s="9"/>
      <c r="F62" s="9"/>
      <c r="G62" s="9"/>
    </row>
    <row r="63" customFormat="false" ht="15" hidden="false" customHeight="true" outlineLevel="0" collapsed="false">
      <c r="A63" s="8"/>
      <c r="B63" s="13"/>
      <c r="C63" s="9"/>
      <c r="D63" s="9"/>
      <c r="E63" s="9"/>
      <c r="F63" s="9"/>
      <c r="G63" s="9"/>
    </row>
    <row r="64" customFormat="false" ht="15" hidden="false" customHeight="true" outlineLevel="0" collapsed="false">
      <c r="A64" s="8"/>
      <c r="B64" s="13"/>
      <c r="C64" s="9"/>
      <c r="D64" s="9"/>
      <c r="E64" s="9"/>
      <c r="F64" s="9"/>
      <c r="G64" s="9"/>
    </row>
    <row r="65" customFormat="false" ht="15" hidden="false" customHeight="true" outlineLevel="0" collapsed="false">
      <c r="A65" s="8"/>
      <c r="B65" s="13"/>
      <c r="C65" s="9"/>
      <c r="D65" s="9"/>
      <c r="E65" s="9"/>
      <c r="F65" s="9"/>
      <c r="G65" s="9"/>
    </row>
    <row r="66" customFormat="false" ht="15" hidden="false" customHeight="true" outlineLevel="0" collapsed="false">
      <c r="A66" s="8"/>
      <c r="B66" s="13"/>
      <c r="C66" s="9"/>
      <c r="D66" s="9"/>
      <c r="E66" s="9"/>
      <c r="F66" s="9"/>
      <c r="G66" s="9"/>
    </row>
    <row r="67" customFormat="false" ht="15" hidden="false" customHeight="true" outlineLevel="0" collapsed="false">
      <c r="A67" s="8"/>
      <c r="B67" s="13"/>
      <c r="C67" s="9"/>
      <c r="D67" s="9"/>
      <c r="E67" s="9"/>
      <c r="F67" s="9"/>
      <c r="G67" s="9"/>
    </row>
    <row r="68" customFormat="false" ht="15" hidden="false" customHeight="true" outlineLevel="0" collapsed="false">
      <c r="A68" s="8"/>
      <c r="B68" s="13"/>
      <c r="C68" s="9"/>
      <c r="D68" s="9"/>
      <c r="E68" s="9"/>
      <c r="F68" s="9"/>
      <c r="G68" s="9"/>
    </row>
    <row r="69" customFormat="false" ht="15" hidden="false" customHeight="true" outlineLevel="0" collapsed="false">
      <c r="A69" s="8"/>
      <c r="B69" s="13"/>
      <c r="C69" s="9"/>
      <c r="D69" s="9"/>
      <c r="E69" s="9"/>
      <c r="F69" s="9"/>
      <c r="G69" s="9"/>
    </row>
    <row r="70" customFormat="false" ht="15" hidden="false" customHeight="true" outlineLevel="0" collapsed="false">
      <c r="A70" s="8"/>
      <c r="B70" s="13"/>
      <c r="C70" s="9"/>
      <c r="D70" s="9"/>
      <c r="E70" s="9"/>
      <c r="F70" s="9"/>
      <c r="G70" s="9"/>
    </row>
    <row r="71" customFormat="false" ht="15" hidden="false" customHeight="true" outlineLevel="0" collapsed="false">
      <c r="A71" s="8"/>
      <c r="B71" s="13"/>
      <c r="C71" s="9"/>
      <c r="D71" s="9"/>
      <c r="E71" s="9"/>
      <c r="F71" s="9"/>
      <c r="G71" s="9"/>
    </row>
    <row r="72" customFormat="false" ht="15" hidden="false" customHeight="true" outlineLevel="0" collapsed="false">
      <c r="A72" s="8"/>
      <c r="B72" s="13"/>
      <c r="C72" s="9"/>
      <c r="D72" s="9"/>
      <c r="E72" s="9"/>
      <c r="F72" s="9"/>
      <c r="G72" s="9"/>
    </row>
    <row r="73" customFormat="false" ht="15" hidden="false" customHeight="true" outlineLevel="0" collapsed="false">
      <c r="A73" s="8"/>
      <c r="B73" s="13"/>
      <c r="C73" s="9"/>
      <c r="D73" s="9"/>
      <c r="E73" s="9"/>
      <c r="F73" s="9"/>
      <c r="G73" s="9"/>
    </row>
    <row r="74" customFormat="false" ht="15" hidden="false" customHeight="true" outlineLevel="0" collapsed="false">
      <c r="A74" s="8"/>
      <c r="B74" s="13"/>
      <c r="C74" s="9"/>
      <c r="D74" s="9"/>
      <c r="E74" s="9"/>
      <c r="F74" s="9"/>
      <c r="G74" s="9"/>
    </row>
    <row r="75" customFormat="false" ht="15" hidden="false" customHeight="true" outlineLevel="0" collapsed="false">
      <c r="A75" s="8"/>
      <c r="B75" s="13"/>
      <c r="C75" s="9"/>
      <c r="D75" s="9"/>
      <c r="E75" s="9"/>
      <c r="F75" s="9"/>
      <c r="G75" s="9"/>
    </row>
    <row r="76" customFormat="false" ht="15" hidden="false" customHeight="true" outlineLevel="0" collapsed="false">
      <c r="A76" s="8"/>
      <c r="B76" s="13"/>
      <c r="C76" s="9"/>
      <c r="D76" s="9"/>
      <c r="E76" s="9"/>
      <c r="F76" s="9"/>
      <c r="G76" s="9"/>
    </row>
    <row r="77" customFormat="false" ht="15" hidden="false" customHeight="true" outlineLevel="0" collapsed="false">
      <c r="A77" s="8"/>
      <c r="B77" s="13"/>
      <c r="C77" s="9"/>
      <c r="D77" s="9"/>
      <c r="E77" s="9"/>
      <c r="F77" s="9"/>
      <c r="G77" s="9"/>
    </row>
    <row r="78" customFormat="false" ht="15" hidden="false" customHeight="true" outlineLevel="0" collapsed="false">
      <c r="A78" s="8"/>
      <c r="B78" s="13"/>
      <c r="C78" s="9"/>
      <c r="D78" s="9"/>
      <c r="E78" s="9"/>
      <c r="F78" s="9"/>
      <c r="G78" s="9"/>
    </row>
    <row r="79" customFormat="false" ht="15" hidden="false" customHeight="true" outlineLevel="0" collapsed="false">
      <c r="A79" s="8"/>
      <c r="B79" s="13"/>
      <c r="C79" s="9"/>
      <c r="D79" s="9"/>
      <c r="E79" s="9"/>
      <c r="F79" s="9"/>
      <c r="G79" s="9"/>
    </row>
    <row r="80" customFormat="false" ht="15" hidden="false" customHeight="true" outlineLevel="0" collapsed="false">
      <c r="A80" s="8"/>
      <c r="B80" s="13"/>
      <c r="C80" s="9"/>
      <c r="D80" s="9"/>
      <c r="E80" s="9"/>
      <c r="F80" s="9"/>
      <c r="G80" s="9"/>
    </row>
    <row r="81" customFormat="false" ht="15" hidden="false" customHeight="true" outlineLevel="0" collapsed="false">
      <c r="A81" s="8"/>
      <c r="B81" s="13"/>
      <c r="C81" s="9"/>
      <c r="D81" s="9"/>
      <c r="E81" s="9"/>
      <c r="F81" s="9"/>
      <c r="G81" s="9"/>
    </row>
    <row r="82" customFormat="false" ht="15" hidden="false" customHeight="true" outlineLevel="0" collapsed="false">
      <c r="A82" s="8"/>
      <c r="B82" s="13"/>
      <c r="C82" s="9"/>
      <c r="D82" s="9"/>
      <c r="E82" s="9"/>
      <c r="F82" s="9"/>
      <c r="G82" s="9"/>
    </row>
    <row r="83" customFormat="false" ht="15" hidden="false" customHeight="true" outlineLevel="0" collapsed="false">
      <c r="A83" s="8"/>
      <c r="B83" s="13"/>
      <c r="C83" s="9"/>
      <c r="D83" s="9"/>
      <c r="E83" s="9"/>
      <c r="F83" s="9"/>
      <c r="G83" s="9"/>
    </row>
    <row r="84" customFormat="false" ht="15" hidden="false" customHeight="true" outlineLevel="0" collapsed="false">
      <c r="A84" s="8"/>
      <c r="B84" s="13"/>
      <c r="C84" s="9"/>
      <c r="D84" s="9"/>
      <c r="E84" s="9"/>
      <c r="F84" s="9"/>
      <c r="G84" s="9"/>
    </row>
    <row r="85" customFormat="false" ht="15" hidden="false" customHeight="true" outlineLevel="0" collapsed="false">
      <c r="A85" s="8"/>
      <c r="B85" s="13"/>
      <c r="C85" s="9"/>
      <c r="D85" s="9"/>
      <c r="E85" s="9"/>
      <c r="F85" s="9"/>
      <c r="G85" s="9"/>
    </row>
    <row r="86" customFormat="false" ht="15" hidden="false" customHeight="true" outlineLevel="0" collapsed="false">
      <c r="A86" s="8"/>
      <c r="B86" s="13"/>
      <c r="C86" s="9"/>
      <c r="D86" s="9"/>
      <c r="E86" s="9"/>
      <c r="F86" s="9"/>
      <c r="G86" s="9"/>
    </row>
    <row r="87" customFormat="false" ht="15" hidden="false" customHeight="true" outlineLevel="0" collapsed="false">
      <c r="A87" s="8"/>
      <c r="B87" s="13"/>
      <c r="C87" s="9"/>
      <c r="D87" s="9"/>
      <c r="E87" s="9"/>
      <c r="F87" s="9"/>
      <c r="G87" s="9"/>
    </row>
    <row r="88" customFormat="false" ht="15" hidden="false" customHeight="true" outlineLevel="0" collapsed="false">
      <c r="A88" s="8"/>
      <c r="B88" s="13"/>
      <c r="C88" s="9"/>
      <c r="D88" s="9"/>
      <c r="E88" s="9"/>
      <c r="F88" s="9"/>
      <c r="G88" s="9"/>
    </row>
    <row r="89" customFormat="false" ht="15" hidden="false" customHeight="true" outlineLevel="0" collapsed="false">
      <c r="A89" s="8"/>
      <c r="B89" s="13"/>
      <c r="C89" s="9"/>
      <c r="D89" s="9"/>
      <c r="E89" s="9"/>
      <c r="F89" s="9"/>
      <c r="G89" s="9"/>
    </row>
    <row r="90" customFormat="false" ht="15" hidden="false" customHeight="true" outlineLevel="0" collapsed="false">
      <c r="A90" s="8"/>
      <c r="B90" s="13"/>
      <c r="C90" s="9"/>
      <c r="D90" s="9"/>
      <c r="E90" s="9"/>
      <c r="F90" s="9"/>
      <c r="G90" s="9"/>
    </row>
    <row r="91" customFormat="false" ht="15" hidden="false" customHeight="true" outlineLevel="0" collapsed="false">
      <c r="A91" s="8"/>
      <c r="B91" s="13"/>
      <c r="C91" s="9"/>
      <c r="D91" s="9"/>
      <c r="E91" s="9"/>
      <c r="F91" s="9"/>
      <c r="G91" s="9"/>
    </row>
    <row r="92" customFormat="false" ht="15" hidden="false" customHeight="true" outlineLevel="0" collapsed="false">
      <c r="A92" s="8"/>
      <c r="B92" s="13"/>
      <c r="C92" s="9"/>
      <c r="D92" s="9"/>
      <c r="E92" s="9"/>
      <c r="F92" s="9"/>
      <c r="G92" s="9"/>
    </row>
    <row r="93" customFormat="false" ht="15" hidden="false" customHeight="true" outlineLevel="0" collapsed="false">
      <c r="A93" s="8"/>
      <c r="B93" s="13"/>
      <c r="C93" s="9"/>
      <c r="D93" s="9"/>
      <c r="E93" s="9"/>
      <c r="F93" s="9"/>
      <c r="G93" s="9"/>
    </row>
    <row r="94" customFormat="false" ht="15" hidden="false" customHeight="true" outlineLevel="0" collapsed="false">
      <c r="A94" s="8"/>
      <c r="B94" s="13"/>
      <c r="C94" s="9"/>
      <c r="D94" s="9"/>
      <c r="E94" s="9"/>
      <c r="F94" s="9"/>
      <c r="G94" s="9"/>
    </row>
    <row r="95" customFormat="false" ht="15" hidden="false" customHeight="true" outlineLevel="0" collapsed="false">
      <c r="A95" s="8"/>
      <c r="B95" s="13"/>
      <c r="C95" s="9"/>
      <c r="D95" s="9"/>
      <c r="E95" s="9"/>
      <c r="F95" s="9"/>
      <c r="G95" s="9"/>
    </row>
    <row r="96" customFormat="false" ht="15" hidden="false" customHeight="true" outlineLevel="0" collapsed="false">
      <c r="A96" s="8"/>
      <c r="B96" s="13"/>
      <c r="C96" s="9"/>
      <c r="D96" s="9"/>
      <c r="E96" s="9"/>
      <c r="F96" s="9"/>
      <c r="G96" s="9"/>
    </row>
    <row r="97" customFormat="false" ht="15" hidden="false" customHeight="true" outlineLevel="0" collapsed="false">
      <c r="A97" s="8"/>
      <c r="B97" s="13"/>
      <c r="C97" s="9"/>
      <c r="D97" s="9"/>
      <c r="E97" s="9"/>
      <c r="F97" s="9"/>
      <c r="G97" s="9"/>
    </row>
    <row r="98" customFormat="false" ht="15" hidden="false" customHeight="true" outlineLevel="0" collapsed="false">
      <c r="A98" s="8"/>
      <c r="B98" s="13"/>
      <c r="C98" s="9"/>
      <c r="D98" s="9"/>
      <c r="E98" s="9"/>
      <c r="F98" s="9"/>
      <c r="G98" s="9"/>
    </row>
    <row r="99" customFormat="false" ht="15" hidden="false" customHeight="true" outlineLevel="0" collapsed="false">
      <c r="A99" s="8"/>
      <c r="B99" s="13"/>
      <c r="C99" s="9"/>
      <c r="D99" s="9"/>
      <c r="E99" s="9"/>
      <c r="F99" s="9"/>
      <c r="G99" s="9"/>
    </row>
    <row r="100" customFormat="false" ht="15" hidden="false" customHeight="true" outlineLevel="0" collapsed="false">
      <c r="A100" s="8"/>
      <c r="B100" s="13"/>
      <c r="C100" s="9"/>
      <c r="D100" s="9"/>
      <c r="E100" s="9"/>
      <c r="F100" s="9"/>
      <c r="G100" s="9"/>
    </row>
    <row r="101" customFormat="false" ht="15" hidden="false" customHeight="true" outlineLevel="0" collapsed="false">
      <c r="A101" s="8"/>
      <c r="B101" s="13"/>
      <c r="C101" s="9"/>
      <c r="D101" s="9"/>
      <c r="E101" s="9"/>
      <c r="F101" s="9"/>
      <c r="G101" s="9"/>
    </row>
    <row r="102" customFormat="false" ht="15" hidden="false" customHeight="true" outlineLevel="0" collapsed="false">
      <c r="A102" s="8"/>
      <c r="B102" s="13"/>
      <c r="C102" s="9"/>
      <c r="D102" s="9"/>
      <c r="E102" s="9"/>
      <c r="F102" s="9"/>
      <c r="G102" s="9"/>
    </row>
    <row r="103" customFormat="false" ht="15" hidden="false" customHeight="true" outlineLevel="0" collapsed="false">
      <c r="A103" s="8"/>
      <c r="B103" s="13"/>
      <c r="C103" s="9"/>
      <c r="D103" s="9"/>
      <c r="E103" s="9"/>
      <c r="F103" s="9"/>
      <c r="G103" s="9"/>
    </row>
    <row r="104" customFormat="false" ht="15" hidden="false" customHeight="true" outlineLevel="0" collapsed="false">
      <c r="A104" s="8"/>
      <c r="B104" s="13"/>
      <c r="C104" s="9"/>
      <c r="D104" s="9"/>
      <c r="E104" s="9"/>
      <c r="F104" s="9"/>
      <c r="G104" s="9"/>
    </row>
    <row r="105" customFormat="false" ht="15" hidden="false" customHeight="true" outlineLevel="0" collapsed="false">
      <c r="A105" s="8"/>
      <c r="B105" s="13"/>
      <c r="C105" s="9"/>
      <c r="D105" s="9"/>
      <c r="E105" s="9"/>
      <c r="F105" s="9"/>
      <c r="G105" s="9"/>
    </row>
    <row r="106" customFormat="false" ht="15" hidden="false" customHeight="true" outlineLevel="0" collapsed="false">
      <c r="A106" s="8"/>
      <c r="B106" s="13"/>
      <c r="C106" s="9"/>
      <c r="D106" s="9"/>
      <c r="E106" s="9"/>
      <c r="F106" s="9"/>
      <c r="G106" s="9"/>
    </row>
    <row r="107" customFormat="false" ht="15" hidden="false" customHeight="true" outlineLevel="0" collapsed="false">
      <c r="A107" s="8"/>
      <c r="B107" s="13"/>
      <c r="C107" s="9"/>
      <c r="D107" s="9"/>
      <c r="E107" s="9"/>
      <c r="F107" s="9"/>
      <c r="G107" s="9"/>
    </row>
    <row r="108" customFormat="false" ht="15" hidden="false" customHeight="true" outlineLevel="0" collapsed="false">
      <c r="A108" s="8"/>
      <c r="B108" s="13"/>
      <c r="C108" s="9"/>
      <c r="D108" s="9"/>
      <c r="E108" s="9"/>
      <c r="F108" s="9"/>
      <c r="G108" s="9"/>
    </row>
    <row r="109" customFormat="false" ht="15" hidden="false" customHeight="true" outlineLevel="0" collapsed="false">
      <c r="A109" s="8"/>
      <c r="B109" s="13"/>
      <c r="C109" s="9"/>
      <c r="D109" s="9"/>
      <c r="E109" s="9"/>
      <c r="F109" s="9"/>
      <c r="G109" s="9"/>
    </row>
    <row r="110" customFormat="false" ht="15" hidden="false" customHeight="true" outlineLevel="0" collapsed="false">
      <c r="A110" s="8"/>
      <c r="B110" s="13"/>
      <c r="C110" s="9"/>
      <c r="D110" s="9"/>
      <c r="E110" s="9"/>
      <c r="F110" s="9"/>
      <c r="G110" s="9"/>
    </row>
    <row r="111" customFormat="false" ht="15" hidden="false" customHeight="true" outlineLevel="0" collapsed="false">
      <c r="A111" s="8"/>
      <c r="B111" s="13"/>
      <c r="C111" s="9"/>
      <c r="D111" s="9"/>
      <c r="E111" s="9"/>
      <c r="F111" s="9"/>
      <c r="G111" s="9"/>
    </row>
    <row r="112" customFormat="false" ht="15" hidden="false" customHeight="true" outlineLevel="0" collapsed="false">
      <c r="A112" s="8"/>
      <c r="B112" s="13"/>
      <c r="C112" s="9"/>
      <c r="D112" s="9"/>
      <c r="E112" s="9"/>
      <c r="F112" s="9"/>
      <c r="G112" s="9"/>
    </row>
    <row r="113" customFormat="false" ht="15" hidden="false" customHeight="true" outlineLevel="0" collapsed="false">
      <c r="A113" s="8"/>
      <c r="B113" s="13"/>
      <c r="C113" s="9"/>
      <c r="D113" s="9"/>
      <c r="E113" s="9"/>
      <c r="F113" s="9"/>
      <c r="G113" s="9"/>
    </row>
    <row r="114" customFormat="false" ht="15" hidden="false" customHeight="true" outlineLevel="0" collapsed="false">
      <c r="A114" s="8"/>
      <c r="B114" s="13"/>
      <c r="C114" s="9"/>
      <c r="D114" s="9"/>
      <c r="E114" s="9"/>
      <c r="F114" s="9"/>
      <c r="G114" s="9"/>
    </row>
    <row r="115" customFormat="false" ht="15" hidden="false" customHeight="true" outlineLevel="0" collapsed="false">
      <c r="A115" s="8"/>
      <c r="B115" s="13"/>
      <c r="C115" s="9"/>
      <c r="D115" s="9"/>
      <c r="E115" s="9"/>
      <c r="F115" s="9"/>
      <c r="G115" s="9"/>
    </row>
    <row r="116" customFormat="false" ht="15" hidden="false" customHeight="true" outlineLevel="0" collapsed="false">
      <c r="A116" s="8"/>
      <c r="B116" s="13"/>
      <c r="C116" s="9"/>
      <c r="D116" s="9"/>
      <c r="E116" s="9"/>
      <c r="F116" s="9"/>
      <c r="G116" s="9"/>
    </row>
    <row r="117" customFormat="false" ht="15" hidden="false" customHeight="true" outlineLevel="0" collapsed="false">
      <c r="A117" s="8"/>
      <c r="B117" s="13"/>
      <c r="C117" s="9"/>
      <c r="D117" s="9"/>
      <c r="E117" s="9"/>
      <c r="F117" s="9"/>
      <c r="G117" s="9"/>
    </row>
    <row r="118" customFormat="false" ht="15" hidden="false" customHeight="true" outlineLevel="0" collapsed="false">
      <c r="A118" s="8"/>
      <c r="B118" s="13"/>
      <c r="C118" s="9"/>
      <c r="D118" s="9"/>
      <c r="E118" s="9"/>
      <c r="F118" s="9"/>
      <c r="G118" s="9"/>
    </row>
    <row r="119" customFormat="false" ht="15" hidden="false" customHeight="true" outlineLevel="0" collapsed="false">
      <c r="A119" s="8"/>
      <c r="B119" s="13"/>
      <c r="C119" s="9"/>
      <c r="D119" s="9"/>
      <c r="E119" s="9"/>
      <c r="F119" s="9"/>
      <c r="G119" s="9"/>
    </row>
    <row r="120" customFormat="false" ht="15" hidden="false" customHeight="true" outlineLevel="0" collapsed="false">
      <c r="A120" s="8"/>
      <c r="B120" s="13"/>
      <c r="C120" s="9"/>
      <c r="D120" s="9"/>
      <c r="E120" s="9"/>
      <c r="F120" s="9"/>
      <c r="G120" s="9"/>
    </row>
    <row r="121" customFormat="false" ht="15" hidden="false" customHeight="true" outlineLevel="0" collapsed="false">
      <c r="A121" s="8"/>
      <c r="B121" s="13"/>
      <c r="C121" s="9"/>
      <c r="D121" s="9"/>
      <c r="E121" s="9"/>
      <c r="F121" s="9"/>
      <c r="G121" s="9"/>
    </row>
    <row r="122" customFormat="false" ht="15" hidden="false" customHeight="true" outlineLevel="0" collapsed="false">
      <c r="A122" s="8"/>
      <c r="B122" s="13"/>
      <c r="C122" s="9"/>
      <c r="D122" s="9"/>
      <c r="E122" s="9"/>
      <c r="F122" s="9"/>
      <c r="G122" s="9"/>
    </row>
    <row r="123" customFormat="false" ht="15" hidden="false" customHeight="true" outlineLevel="0" collapsed="false">
      <c r="A123" s="8"/>
      <c r="B123" s="13"/>
      <c r="C123" s="9"/>
      <c r="D123" s="9"/>
      <c r="E123" s="9"/>
      <c r="F123" s="9"/>
      <c r="G123" s="9"/>
    </row>
    <row r="124" customFormat="false" ht="15" hidden="false" customHeight="true" outlineLevel="0" collapsed="false">
      <c r="A124" s="8"/>
      <c r="B124" s="13"/>
      <c r="C124" s="9"/>
      <c r="D124" s="9"/>
      <c r="E124" s="9"/>
      <c r="F124" s="9"/>
      <c r="G124" s="9"/>
    </row>
    <row r="125" customFormat="false" ht="15" hidden="false" customHeight="true" outlineLevel="0" collapsed="false">
      <c r="A125" s="8"/>
      <c r="B125" s="13"/>
      <c r="C125" s="9"/>
      <c r="D125" s="9"/>
      <c r="E125" s="9"/>
      <c r="F125" s="9"/>
      <c r="G125" s="9"/>
    </row>
    <row r="126" customFormat="false" ht="15" hidden="false" customHeight="true" outlineLevel="0" collapsed="false">
      <c r="A126" s="8"/>
      <c r="B126" s="13"/>
      <c r="C126" s="9"/>
      <c r="D126" s="9"/>
      <c r="E126" s="9"/>
      <c r="F126" s="9"/>
      <c r="G126" s="9"/>
    </row>
    <row r="127" customFormat="false" ht="15" hidden="false" customHeight="true" outlineLevel="0" collapsed="false">
      <c r="A127" s="8"/>
      <c r="B127" s="13"/>
      <c r="C127" s="9"/>
      <c r="D127" s="9"/>
      <c r="E127" s="9"/>
      <c r="F127" s="9"/>
      <c r="G127" s="9"/>
    </row>
    <row r="128" customFormat="false" ht="15" hidden="false" customHeight="true" outlineLevel="0" collapsed="false">
      <c r="A128" s="8"/>
      <c r="B128" s="13"/>
      <c r="C128" s="9"/>
      <c r="D128" s="9"/>
      <c r="E128" s="9"/>
      <c r="F128" s="9"/>
      <c r="G128" s="9"/>
    </row>
    <row r="129" customFormat="false" ht="15" hidden="false" customHeight="true" outlineLevel="0" collapsed="false">
      <c r="A129" s="8"/>
      <c r="B129" s="13"/>
      <c r="C129" s="9"/>
      <c r="D129" s="9"/>
      <c r="E129" s="9"/>
      <c r="F129" s="9"/>
      <c r="G129" s="9"/>
    </row>
    <row r="130" customFormat="false" ht="15" hidden="false" customHeight="true" outlineLevel="0" collapsed="false">
      <c r="A130" s="8"/>
      <c r="B130" s="13"/>
      <c r="C130" s="9"/>
      <c r="D130" s="9"/>
      <c r="E130" s="9"/>
      <c r="F130" s="9"/>
      <c r="G130" s="9"/>
    </row>
    <row r="131" customFormat="false" ht="15" hidden="false" customHeight="true" outlineLevel="0" collapsed="false">
      <c r="A131" s="8"/>
      <c r="B131" s="13"/>
      <c r="C131" s="9"/>
      <c r="D131" s="9"/>
      <c r="E131" s="9"/>
      <c r="F131" s="9"/>
      <c r="G131" s="9"/>
    </row>
    <row r="132" customFormat="false" ht="15" hidden="false" customHeight="true" outlineLevel="0" collapsed="false">
      <c r="A132" s="8"/>
      <c r="B132" s="13"/>
      <c r="C132" s="9"/>
      <c r="D132" s="9"/>
      <c r="E132" s="9"/>
      <c r="F132" s="9"/>
      <c r="G132" s="9"/>
    </row>
    <row r="133" customFormat="false" ht="15" hidden="false" customHeight="true" outlineLevel="0" collapsed="false">
      <c r="A133" s="8"/>
      <c r="B133" s="13"/>
      <c r="C133" s="9"/>
      <c r="D133" s="9"/>
      <c r="E133" s="9"/>
      <c r="F133" s="9"/>
      <c r="G133" s="9"/>
    </row>
    <row r="134" customFormat="false" ht="15" hidden="false" customHeight="true" outlineLevel="0" collapsed="false">
      <c r="A134" s="8"/>
      <c r="B134" s="13"/>
      <c r="C134" s="9"/>
      <c r="D134" s="9"/>
      <c r="E134" s="9"/>
      <c r="F134" s="9"/>
      <c r="G134" s="9"/>
    </row>
    <row r="135" customFormat="false" ht="15" hidden="false" customHeight="true" outlineLevel="0" collapsed="false">
      <c r="A135" s="8"/>
      <c r="B135" s="13"/>
      <c r="C135" s="9"/>
      <c r="D135" s="9"/>
      <c r="E135" s="9"/>
      <c r="F135" s="9"/>
      <c r="G135" s="9"/>
    </row>
    <row r="136" customFormat="false" ht="15" hidden="false" customHeight="true" outlineLevel="0" collapsed="false">
      <c r="A136" s="8"/>
      <c r="B136" s="13"/>
      <c r="C136" s="9"/>
      <c r="D136" s="9"/>
      <c r="E136" s="9"/>
      <c r="F136" s="9"/>
      <c r="G136" s="9"/>
    </row>
    <row r="137" customFormat="false" ht="15" hidden="false" customHeight="true" outlineLevel="0" collapsed="false">
      <c r="A137" s="8"/>
      <c r="B137" s="13"/>
      <c r="C137" s="9"/>
      <c r="D137" s="9"/>
      <c r="E137" s="9"/>
      <c r="F137" s="9"/>
      <c r="G137" s="9"/>
    </row>
    <row r="138" customFormat="false" ht="15" hidden="false" customHeight="true" outlineLevel="0" collapsed="false">
      <c r="A138" s="8"/>
      <c r="B138" s="13"/>
      <c r="C138" s="9"/>
      <c r="D138" s="9"/>
      <c r="E138" s="9"/>
      <c r="F138" s="9"/>
      <c r="G138" s="9"/>
    </row>
    <row r="139" customFormat="false" ht="15" hidden="false" customHeight="true" outlineLevel="0" collapsed="false">
      <c r="A139" s="8"/>
      <c r="B139" s="13"/>
      <c r="C139" s="9"/>
      <c r="D139" s="9"/>
      <c r="E139" s="9"/>
      <c r="F139" s="9"/>
      <c r="G139" s="9"/>
    </row>
    <row r="140" customFormat="false" ht="15" hidden="false" customHeight="true" outlineLevel="0" collapsed="false">
      <c r="A140" s="8"/>
      <c r="B140" s="13"/>
      <c r="C140" s="9"/>
      <c r="D140" s="9"/>
      <c r="E140" s="9"/>
      <c r="F140" s="9"/>
      <c r="G140" s="9"/>
    </row>
    <row r="141" customFormat="false" ht="15" hidden="false" customHeight="true" outlineLevel="0" collapsed="false">
      <c r="A141" s="8"/>
      <c r="B141" s="13"/>
      <c r="C141" s="9"/>
      <c r="D141" s="9"/>
      <c r="E141" s="9"/>
      <c r="F141" s="9"/>
      <c r="G141" s="9"/>
    </row>
    <row r="142" customFormat="false" ht="15" hidden="false" customHeight="true" outlineLevel="0" collapsed="false">
      <c r="A142" s="8"/>
      <c r="B142" s="13"/>
      <c r="C142" s="9"/>
      <c r="D142" s="9"/>
      <c r="E142" s="9"/>
      <c r="F142" s="9"/>
      <c r="G142" s="9"/>
    </row>
    <row r="143" customFormat="false" ht="15" hidden="false" customHeight="true" outlineLevel="0" collapsed="false">
      <c r="A143" s="8"/>
      <c r="B143" s="13"/>
      <c r="C143" s="9"/>
      <c r="D143" s="9"/>
      <c r="E143" s="9"/>
      <c r="F143" s="9"/>
      <c r="G143" s="9"/>
    </row>
    <row r="144" customFormat="false" ht="15" hidden="false" customHeight="true" outlineLevel="0" collapsed="false">
      <c r="A144" s="8"/>
      <c r="B144" s="13"/>
      <c r="C144" s="9"/>
      <c r="D144" s="9"/>
      <c r="E144" s="9"/>
      <c r="F144" s="9"/>
      <c r="G144" s="9"/>
    </row>
    <row r="145" customFormat="false" ht="15" hidden="false" customHeight="true" outlineLevel="0" collapsed="false">
      <c r="A145" s="8"/>
      <c r="B145" s="13"/>
      <c r="C145" s="9"/>
      <c r="D145" s="9"/>
      <c r="E145" s="9"/>
      <c r="F145" s="9"/>
      <c r="G145" s="9"/>
    </row>
    <row r="146" customFormat="false" ht="15" hidden="false" customHeight="true" outlineLevel="0" collapsed="false">
      <c r="A146" s="8"/>
      <c r="B146" s="13"/>
      <c r="C146" s="9"/>
      <c r="D146" s="9"/>
      <c r="E146" s="9"/>
      <c r="F146" s="9"/>
      <c r="G146" s="9"/>
    </row>
    <row r="147" customFormat="false" ht="15" hidden="false" customHeight="true" outlineLevel="0" collapsed="false">
      <c r="A147" s="8"/>
      <c r="B147" s="13"/>
      <c r="C147" s="9"/>
      <c r="D147" s="9"/>
      <c r="E147" s="9"/>
      <c r="F147" s="9"/>
      <c r="G147" s="9"/>
    </row>
    <row r="148" customFormat="false" ht="15" hidden="false" customHeight="true" outlineLevel="0" collapsed="false">
      <c r="A148" s="8"/>
      <c r="B148" s="13"/>
      <c r="C148" s="9"/>
      <c r="D148" s="9"/>
      <c r="E148" s="9"/>
      <c r="F148" s="9"/>
      <c r="G148" s="9"/>
    </row>
    <row r="149" customFormat="false" ht="15" hidden="false" customHeight="true" outlineLevel="0" collapsed="false">
      <c r="A149" s="8"/>
      <c r="B149" s="13"/>
      <c r="C149" s="9"/>
      <c r="D149" s="9"/>
      <c r="E149" s="9"/>
      <c r="F149" s="9"/>
      <c r="G149" s="9"/>
    </row>
    <row r="150" customFormat="false" ht="15" hidden="false" customHeight="true" outlineLevel="0" collapsed="false">
      <c r="A150" s="8"/>
      <c r="B150" s="13"/>
      <c r="C150" s="9"/>
      <c r="D150" s="9"/>
      <c r="E150" s="9"/>
      <c r="F150" s="9"/>
      <c r="G150" s="9"/>
    </row>
    <row r="151" customFormat="false" ht="15" hidden="false" customHeight="true" outlineLevel="0" collapsed="false">
      <c r="A151" s="8"/>
      <c r="B151" s="13"/>
      <c r="C151" s="9"/>
      <c r="D151" s="9"/>
      <c r="E151" s="9"/>
      <c r="F151" s="9"/>
      <c r="G151" s="9"/>
    </row>
    <row r="152" customFormat="false" ht="15" hidden="false" customHeight="true" outlineLevel="0" collapsed="false">
      <c r="A152" s="8"/>
      <c r="B152" s="13"/>
      <c r="C152" s="9"/>
      <c r="D152" s="9"/>
      <c r="E152" s="9"/>
      <c r="F152" s="9"/>
      <c r="G152" s="9"/>
    </row>
    <row r="153" customFormat="false" ht="15" hidden="false" customHeight="true" outlineLevel="0" collapsed="false">
      <c r="A153" s="8"/>
      <c r="B153" s="13"/>
      <c r="C153" s="9"/>
      <c r="D153" s="9"/>
      <c r="E153" s="9"/>
      <c r="F153" s="9"/>
      <c r="G153" s="9"/>
    </row>
    <row r="154" customFormat="false" ht="15" hidden="false" customHeight="true" outlineLevel="0" collapsed="false">
      <c r="A154" s="8"/>
      <c r="B154" s="13"/>
      <c r="C154" s="9"/>
      <c r="D154" s="9"/>
      <c r="E154" s="9"/>
      <c r="F154" s="9"/>
      <c r="G154" s="9"/>
    </row>
    <row r="155" customFormat="false" ht="15" hidden="false" customHeight="true" outlineLevel="0" collapsed="false">
      <c r="A155" s="8"/>
      <c r="B155" s="13"/>
      <c r="C155" s="9"/>
      <c r="D155" s="9"/>
      <c r="E155" s="9"/>
      <c r="F155" s="9"/>
      <c r="G155" s="9"/>
    </row>
    <row r="156" customFormat="false" ht="15" hidden="false" customHeight="true" outlineLevel="0" collapsed="false">
      <c r="A156" s="8"/>
      <c r="B156" s="13"/>
      <c r="C156" s="9"/>
      <c r="D156" s="9"/>
      <c r="E156" s="9"/>
      <c r="F156" s="9"/>
      <c r="G156" s="9"/>
    </row>
    <row r="157" customFormat="false" ht="15" hidden="false" customHeight="true" outlineLevel="0" collapsed="false">
      <c r="A157" s="8"/>
      <c r="B157" s="13"/>
      <c r="C157" s="9"/>
      <c r="D157" s="9"/>
      <c r="E157" s="9"/>
      <c r="F157" s="9"/>
      <c r="G157" s="9"/>
    </row>
    <row r="158" customFormat="false" ht="15" hidden="false" customHeight="true" outlineLevel="0" collapsed="false">
      <c r="A158" s="8"/>
      <c r="B158" s="13"/>
      <c r="C158" s="9"/>
      <c r="D158" s="9"/>
      <c r="E158" s="9"/>
      <c r="F158" s="9"/>
      <c r="G158" s="9"/>
    </row>
    <row r="159" customFormat="false" ht="15" hidden="false" customHeight="true" outlineLevel="0" collapsed="false">
      <c r="A159" s="8"/>
      <c r="B159" s="13"/>
      <c r="C159" s="9"/>
      <c r="D159" s="9"/>
      <c r="E159" s="9"/>
      <c r="F159" s="9"/>
      <c r="G159" s="9"/>
    </row>
    <row r="160" customFormat="false" ht="15" hidden="false" customHeight="true" outlineLevel="0" collapsed="false">
      <c r="A160" s="8"/>
      <c r="B160" s="13"/>
      <c r="C160" s="9"/>
      <c r="D160" s="9"/>
      <c r="E160" s="9"/>
      <c r="F160" s="9"/>
      <c r="G160" s="9"/>
    </row>
    <row r="161" customFormat="false" ht="15" hidden="false" customHeight="true" outlineLevel="0" collapsed="false">
      <c r="A161" s="8"/>
      <c r="B161" s="13"/>
      <c r="C161" s="9"/>
      <c r="D161" s="9"/>
      <c r="E161" s="9"/>
      <c r="F161" s="9"/>
      <c r="G161" s="9"/>
    </row>
    <row r="162" customFormat="false" ht="15" hidden="false" customHeight="true" outlineLevel="0" collapsed="false">
      <c r="A162" s="8"/>
      <c r="B162" s="13"/>
      <c r="C162" s="9"/>
      <c r="D162" s="9"/>
      <c r="E162" s="9"/>
      <c r="F162" s="9"/>
      <c r="G162" s="9"/>
    </row>
    <row r="163" customFormat="false" ht="15" hidden="false" customHeight="true" outlineLevel="0" collapsed="false">
      <c r="A163" s="8"/>
      <c r="B163" s="13"/>
      <c r="C163" s="9"/>
      <c r="D163" s="9"/>
      <c r="E163" s="9"/>
      <c r="F163" s="9"/>
      <c r="G163" s="9"/>
    </row>
    <row r="164" customFormat="false" ht="15" hidden="false" customHeight="true" outlineLevel="0" collapsed="false">
      <c r="A164" s="8"/>
      <c r="B164" s="13"/>
      <c r="C164" s="9"/>
      <c r="D164" s="9"/>
      <c r="E164" s="9"/>
      <c r="F164" s="9"/>
      <c r="G164" s="9"/>
    </row>
    <row r="165" customFormat="false" ht="15" hidden="false" customHeight="true" outlineLevel="0" collapsed="false">
      <c r="A165" s="8"/>
      <c r="B165" s="13"/>
      <c r="C165" s="9"/>
      <c r="D165" s="9"/>
      <c r="E165" s="9"/>
      <c r="F165" s="9"/>
      <c r="G165" s="9"/>
    </row>
    <row r="166" customFormat="false" ht="15" hidden="false" customHeight="true" outlineLevel="0" collapsed="false">
      <c r="A166" s="8"/>
      <c r="B166" s="13"/>
      <c r="C166" s="9"/>
      <c r="D166" s="9"/>
      <c r="E166" s="9"/>
      <c r="F166" s="9"/>
      <c r="G166" s="9"/>
    </row>
    <row r="167" customFormat="false" ht="15" hidden="false" customHeight="true" outlineLevel="0" collapsed="false">
      <c r="A167" s="8"/>
      <c r="B167" s="13"/>
      <c r="C167" s="9"/>
      <c r="D167" s="9"/>
      <c r="E167" s="9"/>
      <c r="F167" s="9"/>
      <c r="G167" s="9"/>
    </row>
    <row r="168" customFormat="false" ht="15" hidden="false" customHeight="true" outlineLevel="0" collapsed="false">
      <c r="A168" s="8"/>
      <c r="B168" s="13"/>
      <c r="C168" s="9"/>
      <c r="D168" s="9"/>
      <c r="E168" s="9"/>
      <c r="F168" s="9"/>
      <c r="G168" s="9"/>
    </row>
    <row r="169" customFormat="false" ht="15" hidden="false" customHeight="true" outlineLevel="0" collapsed="false">
      <c r="A169" s="8"/>
      <c r="B169" s="13"/>
      <c r="C169" s="9"/>
      <c r="D169" s="9"/>
      <c r="E169" s="9"/>
      <c r="F169" s="9"/>
      <c r="G169" s="9"/>
    </row>
    <row r="170" customFormat="false" ht="15" hidden="false" customHeight="true" outlineLevel="0" collapsed="false">
      <c r="A170" s="8"/>
      <c r="B170" s="13"/>
      <c r="C170" s="9"/>
      <c r="D170" s="9"/>
      <c r="E170" s="9"/>
      <c r="F170" s="9"/>
      <c r="G170" s="9"/>
    </row>
    <row r="171" customFormat="false" ht="15" hidden="false" customHeight="true" outlineLevel="0" collapsed="false">
      <c r="A171" s="8"/>
      <c r="B171" s="13"/>
      <c r="C171" s="9"/>
      <c r="D171" s="9"/>
      <c r="E171" s="9"/>
      <c r="F171" s="9"/>
      <c r="G171" s="9"/>
    </row>
    <row r="172" customFormat="false" ht="15" hidden="false" customHeight="true" outlineLevel="0" collapsed="false">
      <c r="A172" s="8"/>
      <c r="B172" s="13"/>
      <c r="C172" s="9"/>
      <c r="D172" s="9"/>
      <c r="E172" s="9"/>
      <c r="F172" s="9"/>
      <c r="G172" s="9"/>
    </row>
    <row r="173" customFormat="false" ht="15" hidden="false" customHeight="true" outlineLevel="0" collapsed="false">
      <c r="A173" s="8"/>
      <c r="B173" s="13"/>
      <c r="C173" s="9"/>
      <c r="D173" s="9"/>
      <c r="E173" s="9"/>
      <c r="F173" s="9"/>
      <c r="G173" s="9"/>
    </row>
    <row r="174" customFormat="false" ht="15" hidden="false" customHeight="true" outlineLevel="0" collapsed="false">
      <c r="A174" s="8"/>
      <c r="B174" s="13"/>
      <c r="C174" s="9"/>
      <c r="D174" s="9"/>
      <c r="E174" s="9"/>
      <c r="F174" s="9"/>
      <c r="G174" s="9"/>
    </row>
    <row r="175" customFormat="false" ht="15" hidden="false" customHeight="true" outlineLevel="0" collapsed="false">
      <c r="A175" s="8"/>
      <c r="B175" s="13"/>
      <c r="C175" s="9"/>
      <c r="D175" s="9"/>
      <c r="E175" s="9"/>
      <c r="F175" s="9"/>
      <c r="G175" s="9"/>
    </row>
    <row r="176" customFormat="false" ht="15" hidden="false" customHeight="true" outlineLevel="0" collapsed="false">
      <c r="A176" s="8"/>
      <c r="B176" s="13"/>
      <c r="C176" s="9"/>
      <c r="D176" s="9"/>
      <c r="E176" s="9"/>
      <c r="F176" s="9"/>
      <c r="G176" s="9"/>
    </row>
    <row r="177" customFormat="false" ht="15" hidden="false" customHeight="true" outlineLevel="0" collapsed="false">
      <c r="A177" s="8"/>
      <c r="B177" s="13"/>
      <c r="C177" s="9"/>
      <c r="D177" s="9"/>
      <c r="E177" s="9"/>
      <c r="F177" s="9"/>
      <c r="G177" s="9"/>
    </row>
    <row r="178" customFormat="false" ht="15" hidden="false" customHeight="true" outlineLevel="0" collapsed="false">
      <c r="A178" s="8"/>
      <c r="B178" s="13"/>
      <c r="C178" s="9"/>
      <c r="D178" s="9"/>
      <c r="E178" s="9"/>
      <c r="F178" s="9"/>
      <c r="G178" s="9"/>
    </row>
    <row r="179" customFormat="false" ht="15" hidden="false" customHeight="true" outlineLevel="0" collapsed="false">
      <c r="A179" s="8"/>
      <c r="B179" s="13"/>
      <c r="C179" s="9"/>
      <c r="D179" s="9"/>
      <c r="E179" s="9"/>
      <c r="F179" s="9"/>
      <c r="G179" s="9"/>
    </row>
    <row r="180" customFormat="false" ht="15" hidden="false" customHeight="true" outlineLevel="0" collapsed="false">
      <c r="A180" s="8"/>
      <c r="B180" s="13"/>
      <c r="C180" s="9"/>
      <c r="D180" s="9"/>
      <c r="E180" s="9"/>
      <c r="F180" s="9"/>
      <c r="G180" s="9"/>
    </row>
    <row r="181" customFormat="false" ht="15" hidden="false" customHeight="true" outlineLevel="0" collapsed="false">
      <c r="A181" s="8"/>
      <c r="B181" s="13"/>
      <c r="C181" s="9"/>
      <c r="D181" s="9"/>
      <c r="E181" s="9"/>
      <c r="F181" s="9"/>
      <c r="G181" s="9"/>
    </row>
    <row r="182" customFormat="false" ht="15" hidden="false" customHeight="true" outlineLevel="0" collapsed="false">
      <c r="A182" s="8"/>
      <c r="B182" s="13"/>
      <c r="C182" s="9"/>
      <c r="D182" s="9"/>
      <c r="E182" s="9"/>
      <c r="F182" s="9"/>
      <c r="G182" s="9"/>
    </row>
    <row r="183" customFormat="false" ht="15" hidden="false" customHeight="true" outlineLevel="0" collapsed="false">
      <c r="A183" s="8"/>
      <c r="B183" s="13"/>
      <c r="C183" s="9"/>
      <c r="D183" s="9"/>
      <c r="E183" s="9"/>
      <c r="F183" s="9"/>
      <c r="G183" s="9"/>
    </row>
    <row r="184" customFormat="false" ht="15" hidden="false" customHeight="true" outlineLevel="0" collapsed="false">
      <c r="A184" s="8"/>
      <c r="B184" s="13"/>
      <c r="C184" s="9"/>
      <c r="D184" s="9"/>
      <c r="E184" s="9"/>
      <c r="F184" s="9"/>
      <c r="G184" s="9"/>
    </row>
    <row r="185" customFormat="false" ht="15" hidden="false" customHeight="true" outlineLevel="0" collapsed="false">
      <c r="A185" s="8"/>
      <c r="B185" s="13"/>
      <c r="C185" s="9"/>
      <c r="D185" s="9"/>
      <c r="E185" s="9"/>
      <c r="F185" s="9"/>
      <c r="G185" s="9"/>
    </row>
    <row r="186" customFormat="false" ht="15" hidden="false" customHeight="true" outlineLevel="0" collapsed="false">
      <c r="A186" s="8"/>
      <c r="B186" s="13"/>
      <c r="C186" s="9"/>
      <c r="D186" s="9"/>
      <c r="E186" s="9"/>
      <c r="F186" s="9"/>
      <c r="G186" s="9"/>
    </row>
    <row r="187" customFormat="false" ht="15" hidden="false" customHeight="true" outlineLevel="0" collapsed="false">
      <c r="A187" s="8"/>
      <c r="B187" s="13"/>
      <c r="C187" s="9"/>
      <c r="D187" s="9"/>
      <c r="E187" s="9"/>
      <c r="F187" s="9"/>
      <c r="G187" s="9"/>
    </row>
    <row r="188" customFormat="false" ht="15" hidden="false" customHeight="true" outlineLevel="0" collapsed="false">
      <c r="A188" s="8"/>
      <c r="B188" s="13"/>
      <c r="C188" s="9"/>
      <c r="D188" s="9"/>
      <c r="E188" s="9"/>
      <c r="F188" s="9"/>
      <c r="G188" s="9"/>
    </row>
    <row r="189" customFormat="false" ht="15" hidden="false" customHeight="true" outlineLevel="0" collapsed="false">
      <c r="A189" s="8"/>
      <c r="B189" s="13"/>
      <c r="C189" s="9"/>
      <c r="D189" s="9"/>
      <c r="E189" s="9"/>
      <c r="F189" s="9"/>
      <c r="G189" s="9"/>
    </row>
    <row r="190" customFormat="false" ht="15" hidden="false" customHeight="true" outlineLevel="0" collapsed="false">
      <c r="A190" s="8"/>
      <c r="B190" s="13"/>
      <c r="C190" s="9"/>
      <c r="D190" s="9"/>
      <c r="E190" s="9"/>
      <c r="F190" s="9"/>
      <c r="G190" s="9"/>
    </row>
    <row r="191" customFormat="false" ht="15" hidden="false" customHeight="true" outlineLevel="0" collapsed="false">
      <c r="A191" s="8"/>
      <c r="B191" s="13"/>
      <c r="C191" s="9"/>
      <c r="D191" s="9"/>
      <c r="E191" s="9"/>
      <c r="F191" s="9"/>
      <c r="G191" s="9"/>
    </row>
    <row r="192" customFormat="false" ht="15" hidden="false" customHeight="true" outlineLevel="0" collapsed="false">
      <c r="A192" s="8"/>
      <c r="B192" s="13"/>
      <c r="C192" s="9"/>
      <c r="D192" s="9"/>
      <c r="E192" s="9"/>
      <c r="F192" s="9"/>
      <c r="G192" s="9"/>
    </row>
    <row r="193" customFormat="false" ht="15" hidden="false" customHeight="true" outlineLevel="0" collapsed="false">
      <c r="A193" s="8"/>
      <c r="B193" s="13"/>
      <c r="C193" s="9"/>
      <c r="D193" s="9"/>
      <c r="E193" s="9"/>
      <c r="F193" s="9"/>
      <c r="G193" s="9"/>
    </row>
    <row r="194" customFormat="false" ht="15" hidden="false" customHeight="true" outlineLevel="0" collapsed="false">
      <c r="A194" s="8"/>
      <c r="B194" s="13"/>
      <c r="C194" s="9"/>
      <c r="D194" s="9"/>
      <c r="E194" s="9"/>
      <c r="F194" s="9"/>
      <c r="G194" s="9"/>
    </row>
    <row r="195" customFormat="false" ht="15" hidden="false" customHeight="true" outlineLevel="0" collapsed="false">
      <c r="A195" s="8"/>
      <c r="B195" s="13"/>
      <c r="C195" s="9"/>
      <c r="D195" s="9"/>
      <c r="E195" s="9"/>
      <c r="F195" s="9"/>
      <c r="G195" s="9"/>
    </row>
    <row r="196" customFormat="false" ht="15" hidden="false" customHeight="true" outlineLevel="0" collapsed="false">
      <c r="A196" s="8"/>
      <c r="B196" s="13"/>
      <c r="C196" s="9"/>
      <c r="D196" s="9"/>
      <c r="E196" s="9"/>
      <c r="F196" s="9"/>
      <c r="G196" s="9"/>
    </row>
    <row r="197" customFormat="false" ht="15" hidden="false" customHeight="true" outlineLevel="0" collapsed="false">
      <c r="A197" s="8"/>
      <c r="B197" s="13"/>
      <c r="C197" s="9"/>
      <c r="D197" s="9"/>
      <c r="E197" s="9"/>
      <c r="F197" s="9"/>
      <c r="G197" s="9"/>
    </row>
    <row r="198" customFormat="false" ht="15" hidden="false" customHeight="true" outlineLevel="0" collapsed="false">
      <c r="A198" s="8"/>
      <c r="B198" s="13"/>
      <c r="C198" s="9"/>
      <c r="D198" s="9"/>
      <c r="E198" s="9"/>
      <c r="F198" s="9"/>
      <c r="G198" s="9"/>
    </row>
    <row r="199" customFormat="false" ht="15" hidden="false" customHeight="true" outlineLevel="0" collapsed="false">
      <c r="A199" s="8"/>
      <c r="B199" s="13"/>
      <c r="C199" s="9"/>
      <c r="D199" s="9"/>
      <c r="E199" s="9"/>
      <c r="F199" s="9"/>
      <c r="G199" s="9"/>
    </row>
    <row r="200" customFormat="false" ht="15" hidden="false" customHeight="true" outlineLevel="0" collapsed="false">
      <c r="A200" s="8"/>
      <c r="B200" s="13"/>
      <c r="C200" s="9"/>
      <c r="D200" s="9"/>
      <c r="E200" s="9"/>
      <c r="F200" s="9"/>
      <c r="G200" s="9"/>
    </row>
    <row r="201" customFormat="false" ht="15" hidden="false" customHeight="true" outlineLevel="0" collapsed="false">
      <c r="A201" s="8"/>
      <c r="B201" s="13"/>
      <c r="C201" s="9"/>
      <c r="D201" s="9"/>
      <c r="E201" s="9"/>
      <c r="F201" s="9"/>
      <c r="G201" s="9"/>
    </row>
    <row r="202" customFormat="false" ht="15" hidden="false" customHeight="true" outlineLevel="0" collapsed="false">
      <c r="A202" s="8"/>
      <c r="B202" s="13"/>
      <c r="C202" s="9"/>
      <c r="D202" s="9"/>
      <c r="E202" s="9"/>
      <c r="F202" s="9"/>
      <c r="G202" s="9"/>
    </row>
    <row r="203" customFormat="false" ht="15" hidden="false" customHeight="true" outlineLevel="0" collapsed="false">
      <c r="A203" s="8"/>
      <c r="B203" s="13"/>
      <c r="C203" s="9"/>
      <c r="D203" s="9"/>
      <c r="E203" s="9"/>
      <c r="F203" s="9"/>
      <c r="G203" s="9"/>
    </row>
    <row r="204" customFormat="false" ht="15" hidden="false" customHeight="true" outlineLevel="0" collapsed="false">
      <c r="A204" s="8"/>
      <c r="B204" s="13"/>
      <c r="C204" s="9"/>
      <c r="D204" s="9"/>
      <c r="E204" s="9"/>
      <c r="F204" s="9"/>
      <c r="G204" s="9"/>
    </row>
    <row r="205" customFormat="false" ht="15" hidden="false" customHeight="true" outlineLevel="0" collapsed="false">
      <c r="A205" s="8"/>
      <c r="B205" s="13"/>
      <c r="C205" s="9"/>
      <c r="D205" s="9"/>
      <c r="E205" s="9"/>
      <c r="F205" s="9"/>
      <c r="G205" s="9"/>
    </row>
    <row r="206" customFormat="false" ht="15" hidden="false" customHeight="true" outlineLevel="0" collapsed="false">
      <c r="A206" s="8"/>
      <c r="B206" s="13"/>
      <c r="C206" s="9"/>
      <c r="D206" s="9"/>
      <c r="E206" s="9"/>
      <c r="F206" s="9"/>
      <c r="G206" s="9"/>
    </row>
    <row r="207" customFormat="false" ht="15" hidden="false" customHeight="true" outlineLevel="0" collapsed="false">
      <c r="A207" s="8"/>
      <c r="B207" s="13"/>
      <c r="C207" s="9"/>
      <c r="D207" s="9"/>
      <c r="E207" s="9"/>
      <c r="F207" s="9"/>
      <c r="G207" s="9"/>
    </row>
    <row r="208" customFormat="false" ht="15" hidden="false" customHeight="true" outlineLevel="0" collapsed="false">
      <c r="A208" s="8"/>
      <c r="B208" s="13"/>
      <c r="C208" s="9"/>
      <c r="D208" s="9"/>
      <c r="E208" s="9"/>
      <c r="F208" s="9"/>
      <c r="G208" s="9"/>
    </row>
    <row r="209" customFormat="false" ht="15" hidden="false" customHeight="true" outlineLevel="0" collapsed="false">
      <c r="A209" s="8"/>
      <c r="B209" s="13"/>
      <c r="C209" s="9"/>
      <c r="D209" s="9"/>
      <c r="E209" s="9"/>
      <c r="F209" s="9"/>
      <c r="G209" s="9"/>
    </row>
    <row r="210" customFormat="false" ht="15" hidden="false" customHeight="true" outlineLevel="0" collapsed="false">
      <c r="A210" s="8"/>
      <c r="B210" s="13"/>
      <c r="C210" s="9"/>
      <c r="D210" s="9"/>
      <c r="E210" s="9"/>
      <c r="F210" s="9"/>
      <c r="G210" s="9"/>
    </row>
    <row r="211" customFormat="false" ht="15" hidden="false" customHeight="true" outlineLevel="0" collapsed="false">
      <c r="A211" s="8"/>
      <c r="B211" s="13"/>
      <c r="C211" s="9"/>
      <c r="D211" s="9"/>
      <c r="E211" s="9"/>
      <c r="F211" s="9"/>
      <c r="G211" s="9"/>
    </row>
    <row r="212" customFormat="false" ht="15" hidden="false" customHeight="true" outlineLevel="0" collapsed="false">
      <c r="A212" s="8"/>
      <c r="B212" s="13"/>
      <c r="C212" s="9"/>
      <c r="D212" s="9"/>
      <c r="E212" s="9"/>
      <c r="F212" s="9"/>
      <c r="G212" s="9"/>
    </row>
    <row r="213" customFormat="false" ht="15" hidden="false" customHeight="true" outlineLevel="0" collapsed="false">
      <c r="A213" s="8"/>
      <c r="B213" s="13"/>
      <c r="C213" s="9"/>
      <c r="D213" s="9"/>
      <c r="E213" s="9"/>
      <c r="F213" s="9"/>
      <c r="G213" s="9"/>
    </row>
    <row r="214" customFormat="false" ht="15" hidden="false" customHeight="true" outlineLevel="0" collapsed="false">
      <c r="A214" s="8"/>
      <c r="B214" s="13"/>
      <c r="C214" s="9"/>
      <c r="D214" s="9"/>
      <c r="E214" s="9"/>
      <c r="F214" s="9"/>
      <c r="G214" s="9"/>
    </row>
    <row r="215" customFormat="false" ht="15" hidden="false" customHeight="true" outlineLevel="0" collapsed="false">
      <c r="A215" s="8"/>
      <c r="B215" s="13"/>
      <c r="C215" s="9"/>
      <c r="D215" s="9"/>
      <c r="E215" s="9"/>
      <c r="F215" s="9"/>
      <c r="G215" s="9"/>
    </row>
    <row r="216" customFormat="false" ht="15" hidden="false" customHeight="true" outlineLevel="0" collapsed="false">
      <c r="A216" s="8"/>
      <c r="B216" s="13"/>
      <c r="C216" s="9"/>
      <c r="D216" s="9"/>
      <c r="E216" s="9"/>
      <c r="F216" s="9"/>
      <c r="G216" s="9"/>
    </row>
    <row r="217" customFormat="false" ht="15" hidden="false" customHeight="true" outlineLevel="0" collapsed="false">
      <c r="A217" s="8"/>
      <c r="B217" s="13"/>
      <c r="C217" s="9"/>
      <c r="D217" s="9"/>
      <c r="E217" s="9"/>
      <c r="F217" s="9"/>
      <c r="G217" s="9"/>
    </row>
    <row r="218" customFormat="false" ht="15" hidden="false" customHeight="true" outlineLevel="0" collapsed="false">
      <c r="A218" s="8"/>
      <c r="B218" s="13"/>
      <c r="C218" s="9"/>
      <c r="D218" s="9"/>
      <c r="E218" s="9"/>
      <c r="F218" s="9"/>
      <c r="G218" s="9"/>
    </row>
    <row r="219" customFormat="false" ht="15" hidden="false" customHeight="true" outlineLevel="0" collapsed="false">
      <c r="A219" s="8"/>
      <c r="B219" s="13"/>
      <c r="C219" s="9"/>
      <c r="D219" s="9"/>
      <c r="E219" s="9"/>
      <c r="F219" s="9"/>
      <c r="G219" s="9"/>
    </row>
    <row r="220" customFormat="false" ht="15" hidden="false" customHeight="true" outlineLevel="0" collapsed="false">
      <c r="A220" s="8"/>
      <c r="B220" s="13"/>
      <c r="C220" s="9"/>
      <c r="D220" s="9"/>
      <c r="E220" s="9"/>
      <c r="F220" s="9"/>
      <c r="G220" s="9"/>
    </row>
    <row r="221" customFormat="false" ht="15" hidden="false" customHeight="true" outlineLevel="0" collapsed="false">
      <c r="A221" s="8"/>
      <c r="B221" s="13"/>
      <c r="C221" s="9"/>
      <c r="D221" s="9"/>
      <c r="E221" s="9"/>
      <c r="F221" s="9"/>
      <c r="G221" s="9"/>
    </row>
    <row r="222" customFormat="false" ht="15" hidden="false" customHeight="true" outlineLevel="0" collapsed="false">
      <c r="A222" s="8"/>
      <c r="B222" s="13"/>
      <c r="C222" s="9"/>
      <c r="D222" s="9"/>
      <c r="E222" s="9"/>
      <c r="F222" s="9"/>
      <c r="G222" s="9"/>
    </row>
    <row r="223" customFormat="false" ht="15" hidden="false" customHeight="true" outlineLevel="0" collapsed="false">
      <c r="A223" s="8"/>
      <c r="B223" s="13"/>
      <c r="C223" s="9"/>
      <c r="D223" s="9"/>
      <c r="E223" s="9"/>
      <c r="F223" s="9"/>
      <c r="G223" s="9"/>
    </row>
    <row r="224" customFormat="false" ht="15" hidden="false" customHeight="true" outlineLevel="0" collapsed="false">
      <c r="A224" s="8"/>
      <c r="B224" s="13"/>
      <c r="C224" s="9"/>
      <c r="D224" s="9"/>
      <c r="E224" s="9"/>
      <c r="F224" s="9"/>
      <c r="G224" s="9"/>
    </row>
    <row r="225" customFormat="false" ht="15" hidden="false" customHeight="true" outlineLevel="0" collapsed="false">
      <c r="A225" s="8"/>
      <c r="B225" s="13"/>
      <c r="C225" s="9"/>
      <c r="D225" s="9"/>
      <c r="E225" s="9"/>
      <c r="F225" s="9"/>
      <c r="G225" s="9"/>
    </row>
    <row r="226" customFormat="false" ht="15" hidden="false" customHeight="true" outlineLevel="0" collapsed="false">
      <c r="A226" s="8"/>
      <c r="B226" s="13"/>
      <c r="C226" s="9"/>
      <c r="D226" s="9"/>
      <c r="E226" s="9"/>
      <c r="F226" s="9"/>
      <c r="G226" s="9"/>
    </row>
    <row r="227" customFormat="false" ht="15" hidden="false" customHeight="true" outlineLevel="0" collapsed="false">
      <c r="A227" s="8"/>
      <c r="B227" s="13"/>
      <c r="C227" s="9"/>
      <c r="D227" s="9"/>
      <c r="E227" s="9"/>
      <c r="F227" s="9"/>
      <c r="G227" s="9"/>
    </row>
    <row r="228" customFormat="false" ht="15" hidden="false" customHeight="true" outlineLevel="0" collapsed="false">
      <c r="A228" s="8"/>
      <c r="B228" s="13"/>
      <c r="C228" s="9"/>
      <c r="D228" s="9"/>
      <c r="E228" s="9"/>
      <c r="F228" s="9"/>
      <c r="G228" s="9"/>
    </row>
    <row r="229" customFormat="false" ht="15" hidden="false" customHeight="true" outlineLevel="0" collapsed="false">
      <c r="A229" s="8"/>
      <c r="B229" s="13"/>
      <c r="C229" s="9"/>
      <c r="D229" s="9"/>
      <c r="E229" s="9"/>
      <c r="F229" s="9"/>
      <c r="G229" s="9"/>
    </row>
    <row r="230" customFormat="false" ht="15" hidden="false" customHeight="true" outlineLevel="0" collapsed="false">
      <c r="A230" s="8"/>
      <c r="B230" s="13"/>
      <c r="C230" s="9"/>
      <c r="D230" s="9"/>
      <c r="E230" s="9"/>
      <c r="F230" s="9"/>
      <c r="G230" s="9"/>
    </row>
    <row r="231" customFormat="false" ht="15" hidden="false" customHeight="true" outlineLevel="0" collapsed="false">
      <c r="A231" s="8"/>
      <c r="B231" s="13"/>
      <c r="C231" s="9"/>
      <c r="D231" s="9"/>
      <c r="E231" s="9"/>
      <c r="F231" s="9"/>
      <c r="G231" s="9"/>
    </row>
    <row r="232" customFormat="false" ht="15" hidden="false" customHeight="true" outlineLevel="0" collapsed="false">
      <c r="A232" s="8"/>
      <c r="B232" s="13"/>
      <c r="C232" s="9"/>
      <c r="D232" s="9"/>
      <c r="E232" s="9"/>
      <c r="F232" s="9"/>
      <c r="G232" s="9"/>
    </row>
    <row r="233" customFormat="false" ht="15" hidden="false" customHeight="true" outlineLevel="0" collapsed="false">
      <c r="A233" s="8"/>
      <c r="B233" s="13"/>
      <c r="C233" s="9"/>
      <c r="D233" s="9"/>
      <c r="E233" s="9"/>
      <c r="F233" s="9"/>
      <c r="G233" s="9"/>
    </row>
    <row r="234" customFormat="false" ht="15" hidden="false" customHeight="true" outlineLevel="0" collapsed="false">
      <c r="A234" s="8"/>
      <c r="B234" s="13"/>
      <c r="C234" s="9"/>
      <c r="D234" s="9"/>
      <c r="E234" s="9"/>
      <c r="F234" s="9"/>
      <c r="G234" s="9"/>
    </row>
    <row r="235" customFormat="false" ht="15" hidden="false" customHeight="true" outlineLevel="0" collapsed="false">
      <c r="A235" s="8"/>
      <c r="B235" s="13"/>
      <c r="C235" s="9"/>
      <c r="D235" s="9"/>
      <c r="E235" s="9"/>
      <c r="F235" s="9"/>
      <c r="G235" s="9"/>
    </row>
    <row r="236" customFormat="false" ht="15" hidden="false" customHeight="true" outlineLevel="0" collapsed="false">
      <c r="A236" s="8"/>
      <c r="B236" s="13"/>
      <c r="C236" s="9"/>
      <c r="D236" s="9"/>
      <c r="E236" s="9"/>
      <c r="F236" s="9"/>
      <c r="G236" s="9"/>
    </row>
    <row r="237" customFormat="false" ht="15" hidden="false" customHeight="true" outlineLevel="0" collapsed="false">
      <c r="A237" s="8"/>
      <c r="B237" s="13"/>
      <c r="C237" s="9"/>
      <c r="D237" s="9"/>
      <c r="E237" s="9"/>
      <c r="F237" s="9"/>
      <c r="G237" s="9"/>
    </row>
    <row r="238" customFormat="false" ht="15" hidden="false" customHeight="true" outlineLevel="0" collapsed="false">
      <c r="A238" s="8"/>
      <c r="B238" s="13"/>
      <c r="C238" s="9"/>
      <c r="D238" s="9"/>
      <c r="E238" s="9"/>
      <c r="F238" s="9"/>
      <c r="G238" s="9"/>
    </row>
    <row r="239" customFormat="false" ht="15" hidden="false" customHeight="true" outlineLevel="0" collapsed="false">
      <c r="A239" s="8"/>
      <c r="B239" s="13"/>
      <c r="C239" s="9"/>
      <c r="D239" s="9"/>
      <c r="E239" s="9"/>
      <c r="F239" s="9"/>
      <c r="G239" s="9"/>
    </row>
    <row r="240" customFormat="false" ht="15" hidden="false" customHeight="true" outlineLevel="0" collapsed="false">
      <c r="A240" s="8"/>
      <c r="B240" s="13"/>
      <c r="C240" s="9"/>
      <c r="D240" s="9"/>
      <c r="E240" s="9"/>
      <c r="F240" s="9"/>
      <c r="G240" s="9"/>
    </row>
    <row r="241" customFormat="false" ht="15" hidden="false" customHeight="true" outlineLevel="0" collapsed="false">
      <c r="A241" s="8"/>
      <c r="B241" s="13"/>
      <c r="C241" s="9"/>
      <c r="D241" s="9"/>
      <c r="E241" s="9"/>
      <c r="F241" s="9"/>
      <c r="G241" s="9"/>
    </row>
    <row r="242" customFormat="false" ht="15" hidden="false" customHeight="true" outlineLevel="0" collapsed="false">
      <c r="A242" s="8"/>
      <c r="B242" s="13"/>
      <c r="C242" s="9"/>
      <c r="D242" s="9"/>
      <c r="E242" s="9"/>
      <c r="F242" s="9"/>
      <c r="G242" s="9"/>
    </row>
    <row r="243" customFormat="false" ht="15" hidden="false" customHeight="true" outlineLevel="0" collapsed="false">
      <c r="A243" s="8"/>
      <c r="B243" s="13"/>
      <c r="C243" s="9"/>
      <c r="D243" s="9"/>
      <c r="E243" s="9"/>
      <c r="F243" s="9"/>
      <c r="G243" s="9"/>
    </row>
    <row r="244" customFormat="false" ht="15" hidden="false" customHeight="true" outlineLevel="0" collapsed="false">
      <c r="A244" s="8"/>
      <c r="B244" s="13"/>
      <c r="C244" s="9"/>
      <c r="D244" s="9"/>
      <c r="E244" s="9"/>
      <c r="F244" s="9"/>
      <c r="G244" s="9"/>
    </row>
    <row r="245" customFormat="false" ht="15" hidden="false" customHeight="true" outlineLevel="0" collapsed="false">
      <c r="A245" s="8"/>
      <c r="B245" s="13"/>
      <c r="C245" s="9"/>
      <c r="D245" s="9"/>
      <c r="E245" s="9"/>
      <c r="F245" s="9"/>
      <c r="G245" s="9"/>
    </row>
    <row r="246" customFormat="false" ht="15" hidden="false" customHeight="true" outlineLevel="0" collapsed="false">
      <c r="A246" s="8"/>
      <c r="B246" s="13"/>
      <c r="C246" s="9"/>
      <c r="D246" s="9"/>
      <c r="E246" s="9"/>
      <c r="F246" s="9"/>
      <c r="G246" s="9"/>
    </row>
    <row r="247" customFormat="false" ht="15" hidden="false" customHeight="true" outlineLevel="0" collapsed="false">
      <c r="A247" s="8"/>
      <c r="B247" s="13"/>
      <c r="C247" s="9"/>
      <c r="D247" s="9"/>
      <c r="E247" s="9"/>
      <c r="F247" s="9"/>
      <c r="G247" s="9"/>
    </row>
    <row r="248" customFormat="false" ht="15" hidden="false" customHeight="true" outlineLevel="0" collapsed="false">
      <c r="A248" s="8"/>
      <c r="B248" s="13"/>
      <c r="C248" s="9"/>
      <c r="D248" s="9"/>
      <c r="E248" s="9"/>
      <c r="F248" s="9"/>
      <c r="G248" s="9"/>
    </row>
    <row r="249" customFormat="false" ht="15" hidden="false" customHeight="true" outlineLevel="0" collapsed="false">
      <c r="A249" s="8"/>
      <c r="B249" s="13"/>
      <c r="C249" s="9"/>
      <c r="D249" s="9"/>
      <c r="E249" s="9"/>
      <c r="F249" s="9"/>
      <c r="G249" s="9"/>
    </row>
    <row r="250" customFormat="false" ht="15" hidden="false" customHeight="true" outlineLevel="0" collapsed="false">
      <c r="A250" s="8"/>
      <c r="B250" s="13"/>
      <c r="C250" s="9"/>
      <c r="D250" s="9"/>
      <c r="E250" s="9"/>
      <c r="F250" s="9"/>
      <c r="G250" s="9"/>
    </row>
    <row r="251" customFormat="false" ht="15" hidden="false" customHeight="true" outlineLevel="0" collapsed="false">
      <c r="A251" s="8"/>
      <c r="B251" s="13"/>
      <c r="C251" s="9"/>
      <c r="D251" s="9"/>
      <c r="E251" s="9"/>
      <c r="F251" s="9"/>
      <c r="G251" s="9"/>
    </row>
    <row r="252" customFormat="false" ht="15" hidden="false" customHeight="true" outlineLevel="0" collapsed="false">
      <c r="A252" s="8"/>
      <c r="B252" s="13"/>
      <c r="C252" s="9"/>
      <c r="D252" s="9"/>
      <c r="E252" s="9"/>
      <c r="F252" s="9"/>
      <c r="G252" s="9"/>
    </row>
    <row r="253" customFormat="false" ht="15" hidden="false" customHeight="true" outlineLevel="0" collapsed="false">
      <c r="A253" s="8"/>
      <c r="B253" s="13"/>
      <c r="C253" s="9"/>
      <c r="D253" s="9"/>
      <c r="E253" s="9"/>
      <c r="F253" s="9"/>
      <c r="G253" s="9"/>
    </row>
    <row r="254" customFormat="false" ht="15" hidden="false" customHeight="true" outlineLevel="0" collapsed="false">
      <c r="A254" s="8"/>
      <c r="B254" s="13"/>
      <c r="C254" s="9"/>
      <c r="D254" s="9"/>
      <c r="E254" s="9"/>
      <c r="F254" s="9"/>
      <c r="G254" s="9"/>
    </row>
    <row r="255" customFormat="false" ht="15" hidden="false" customHeight="true" outlineLevel="0" collapsed="false">
      <c r="A255" s="8"/>
      <c r="B255" s="13"/>
      <c r="C255" s="9"/>
      <c r="D255" s="9"/>
      <c r="E255" s="9"/>
      <c r="F255" s="9"/>
      <c r="G255" s="9"/>
    </row>
    <row r="256" customFormat="false" ht="15" hidden="false" customHeight="true" outlineLevel="0" collapsed="false">
      <c r="A256" s="8"/>
      <c r="B256" s="13"/>
      <c r="C256" s="9"/>
      <c r="D256" s="9"/>
      <c r="E256" s="9"/>
      <c r="F256" s="9"/>
      <c r="G256" s="9"/>
    </row>
    <row r="257" customFormat="false" ht="15" hidden="false" customHeight="true" outlineLevel="0" collapsed="false">
      <c r="A257" s="8"/>
      <c r="B257" s="13"/>
      <c r="C257" s="9"/>
      <c r="D257" s="9"/>
      <c r="E257" s="9"/>
      <c r="F257" s="9"/>
      <c r="G257" s="9"/>
    </row>
    <row r="258" customFormat="false" ht="15" hidden="false" customHeight="true" outlineLevel="0" collapsed="false">
      <c r="A258" s="8"/>
      <c r="B258" s="13"/>
      <c r="C258" s="9"/>
      <c r="D258" s="9"/>
      <c r="E258" s="9"/>
      <c r="F258" s="9"/>
      <c r="G258" s="9"/>
    </row>
    <row r="259" customFormat="false" ht="15" hidden="false" customHeight="true" outlineLevel="0" collapsed="false">
      <c r="A259" s="8"/>
      <c r="B259" s="13"/>
      <c r="C259" s="9"/>
      <c r="D259" s="9"/>
      <c r="E259" s="9"/>
      <c r="F259" s="9"/>
      <c r="G259" s="9"/>
    </row>
    <row r="260" customFormat="false" ht="15" hidden="false" customHeight="true" outlineLevel="0" collapsed="false">
      <c r="A260" s="8"/>
      <c r="B260" s="13"/>
      <c r="C260" s="9"/>
      <c r="D260" s="9"/>
      <c r="E260" s="9"/>
      <c r="F260" s="9"/>
      <c r="G260" s="9"/>
    </row>
    <row r="261" customFormat="false" ht="15" hidden="false" customHeight="true" outlineLevel="0" collapsed="false">
      <c r="A261" s="8"/>
      <c r="B261" s="13"/>
      <c r="C261" s="9"/>
      <c r="D261" s="9"/>
      <c r="E261" s="9"/>
      <c r="F261" s="9"/>
      <c r="G261" s="9"/>
    </row>
    <row r="262" customFormat="false" ht="15" hidden="false" customHeight="true" outlineLevel="0" collapsed="false">
      <c r="A262" s="8"/>
      <c r="B262" s="13"/>
      <c r="C262" s="9"/>
      <c r="D262" s="9"/>
      <c r="E262" s="9"/>
      <c r="F262" s="9"/>
      <c r="G262" s="9"/>
    </row>
    <row r="263" customFormat="false" ht="15" hidden="false" customHeight="true" outlineLevel="0" collapsed="false">
      <c r="A263" s="8"/>
      <c r="B263" s="13"/>
      <c r="C263" s="9"/>
      <c r="D263" s="9"/>
      <c r="E263" s="9"/>
      <c r="F263" s="9"/>
      <c r="G263" s="9"/>
    </row>
    <row r="264" customFormat="false" ht="15" hidden="false" customHeight="true" outlineLevel="0" collapsed="false">
      <c r="A264" s="8"/>
      <c r="B264" s="13"/>
      <c r="C264" s="9"/>
      <c r="D264" s="9"/>
      <c r="E264" s="9"/>
      <c r="F264" s="9"/>
      <c r="G264" s="9"/>
    </row>
    <row r="265" customFormat="false" ht="15" hidden="false" customHeight="true" outlineLevel="0" collapsed="false">
      <c r="A265" s="8"/>
      <c r="B265" s="13"/>
      <c r="C265" s="9"/>
      <c r="D265" s="9"/>
      <c r="E265" s="9"/>
      <c r="F265" s="9"/>
      <c r="G265" s="9"/>
    </row>
    <row r="266" customFormat="false" ht="15" hidden="false" customHeight="true" outlineLevel="0" collapsed="false">
      <c r="A266" s="8"/>
      <c r="B266" s="13"/>
      <c r="C266" s="9"/>
      <c r="D266" s="9"/>
      <c r="E266" s="9"/>
      <c r="F266" s="9"/>
      <c r="G266" s="9"/>
    </row>
    <row r="267" customFormat="false" ht="15" hidden="false" customHeight="true" outlineLevel="0" collapsed="false">
      <c r="A267" s="8"/>
      <c r="B267" s="13"/>
      <c r="C267" s="9"/>
      <c r="D267" s="9"/>
      <c r="E267" s="9"/>
      <c r="F267" s="9"/>
      <c r="G267" s="9"/>
    </row>
    <row r="268" customFormat="false" ht="15" hidden="false" customHeight="true" outlineLevel="0" collapsed="false">
      <c r="A268" s="8"/>
      <c r="B268" s="13"/>
      <c r="C268" s="9"/>
      <c r="D268" s="9"/>
      <c r="E268" s="9"/>
      <c r="F268" s="9"/>
      <c r="G268" s="9"/>
    </row>
    <row r="269" customFormat="false" ht="15" hidden="false" customHeight="true" outlineLevel="0" collapsed="false">
      <c r="A269" s="8"/>
      <c r="B269" s="13"/>
      <c r="C269" s="9"/>
      <c r="D269" s="9"/>
      <c r="E269" s="9"/>
      <c r="F269" s="9"/>
      <c r="G269" s="9"/>
    </row>
    <row r="270" customFormat="false" ht="15" hidden="false" customHeight="true" outlineLevel="0" collapsed="false">
      <c r="A270" s="8"/>
      <c r="B270" s="13"/>
      <c r="C270" s="9"/>
      <c r="D270" s="9"/>
      <c r="E270" s="9"/>
      <c r="F270" s="9"/>
      <c r="G270" s="9"/>
    </row>
    <row r="271" customFormat="false" ht="15" hidden="false" customHeight="true" outlineLevel="0" collapsed="false">
      <c r="A271" s="8"/>
      <c r="B271" s="13"/>
      <c r="C271" s="9"/>
      <c r="D271" s="9"/>
      <c r="E271" s="9"/>
      <c r="F271" s="9"/>
      <c r="G271" s="9"/>
    </row>
    <row r="272" customFormat="false" ht="15" hidden="false" customHeight="true" outlineLevel="0" collapsed="false">
      <c r="A272" s="8"/>
      <c r="B272" s="13"/>
      <c r="C272" s="9"/>
      <c r="D272" s="9"/>
      <c r="E272" s="9"/>
      <c r="F272" s="9"/>
      <c r="G272" s="9"/>
    </row>
    <row r="273" customFormat="false" ht="15" hidden="false" customHeight="true" outlineLevel="0" collapsed="false">
      <c r="A273" s="8"/>
      <c r="B273" s="13"/>
      <c r="C273" s="9"/>
      <c r="D273" s="9"/>
      <c r="E273" s="9"/>
      <c r="F273" s="9"/>
      <c r="G273" s="9"/>
    </row>
    <row r="274" customFormat="false" ht="15" hidden="false" customHeight="true" outlineLevel="0" collapsed="false">
      <c r="A274" s="8"/>
      <c r="B274" s="13"/>
      <c r="C274" s="9"/>
      <c r="D274" s="9"/>
      <c r="E274" s="9"/>
      <c r="F274" s="9"/>
      <c r="G274" s="9"/>
    </row>
    <row r="275" customFormat="false" ht="15" hidden="false" customHeight="true" outlineLevel="0" collapsed="false">
      <c r="A275" s="8"/>
      <c r="B275" s="13"/>
      <c r="C275" s="9"/>
      <c r="D275" s="9"/>
      <c r="E275" s="9"/>
      <c r="F275" s="9"/>
      <c r="G275" s="9"/>
    </row>
    <row r="276" customFormat="false" ht="15" hidden="false" customHeight="true" outlineLevel="0" collapsed="false">
      <c r="A276" s="8"/>
      <c r="B276" s="13"/>
      <c r="C276" s="9"/>
      <c r="D276" s="9"/>
      <c r="E276" s="9"/>
      <c r="F276" s="9"/>
      <c r="G276" s="9"/>
    </row>
    <row r="277" customFormat="false" ht="15" hidden="false" customHeight="true" outlineLevel="0" collapsed="false">
      <c r="A277" s="8"/>
      <c r="B277" s="13"/>
      <c r="C277" s="9"/>
      <c r="D277" s="9"/>
      <c r="E277" s="9"/>
      <c r="F277" s="9"/>
      <c r="G277" s="9"/>
    </row>
    <row r="278" customFormat="false" ht="15" hidden="false" customHeight="true" outlineLevel="0" collapsed="false">
      <c r="A278" s="8"/>
      <c r="B278" s="13"/>
      <c r="C278" s="9"/>
      <c r="D278" s="9"/>
      <c r="E278" s="9"/>
      <c r="F278" s="9"/>
      <c r="G278" s="9"/>
    </row>
    <row r="279" customFormat="false" ht="15" hidden="false" customHeight="true" outlineLevel="0" collapsed="false">
      <c r="A279" s="8"/>
      <c r="B279" s="13"/>
      <c r="C279" s="9"/>
      <c r="D279" s="9"/>
      <c r="E279" s="9"/>
      <c r="F279" s="9"/>
      <c r="G279" s="9"/>
    </row>
    <row r="280" customFormat="false" ht="15" hidden="false" customHeight="true" outlineLevel="0" collapsed="false">
      <c r="A280" s="8"/>
      <c r="B280" s="13"/>
      <c r="C280" s="9"/>
      <c r="D280" s="9"/>
      <c r="E280" s="9"/>
      <c r="F280" s="9"/>
      <c r="G280" s="9"/>
    </row>
    <row r="281" customFormat="false" ht="15" hidden="false" customHeight="true" outlineLevel="0" collapsed="false">
      <c r="A281" s="8"/>
      <c r="B281" s="13"/>
      <c r="C281" s="9"/>
      <c r="D281" s="9"/>
      <c r="E281" s="9"/>
      <c r="F281" s="9"/>
      <c r="G281" s="9"/>
    </row>
    <row r="282" customFormat="false" ht="15" hidden="false" customHeight="true" outlineLevel="0" collapsed="false">
      <c r="A282" s="8"/>
      <c r="B282" s="13"/>
      <c r="C282" s="9"/>
      <c r="D282" s="9"/>
      <c r="E282" s="9"/>
      <c r="F282" s="9"/>
      <c r="G282" s="9"/>
    </row>
    <row r="283" customFormat="false" ht="15" hidden="false" customHeight="true" outlineLevel="0" collapsed="false">
      <c r="A283" s="8"/>
      <c r="B283" s="13"/>
      <c r="C283" s="9"/>
      <c r="D283" s="9"/>
      <c r="E283" s="9"/>
      <c r="F283" s="9"/>
      <c r="G283" s="9"/>
    </row>
    <row r="284" customFormat="false" ht="15" hidden="false" customHeight="true" outlineLevel="0" collapsed="false">
      <c r="A284" s="8"/>
      <c r="B284" s="13"/>
      <c r="C284" s="9"/>
      <c r="D284" s="9"/>
      <c r="E284" s="9"/>
      <c r="F284" s="9"/>
      <c r="G284" s="9"/>
    </row>
    <row r="285" customFormat="false" ht="15" hidden="false" customHeight="true" outlineLevel="0" collapsed="false">
      <c r="A285" s="8"/>
      <c r="B285" s="13"/>
      <c r="C285" s="9"/>
      <c r="D285" s="9"/>
      <c r="E285" s="9"/>
      <c r="F285" s="9"/>
      <c r="G285" s="9"/>
    </row>
    <row r="286" customFormat="false" ht="15" hidden="false" customHeight="true" outlineLevel="0" collapsed="false">
      <c r="A286" s="8"/>
      <c r="B286" s="13"/>
      <c r="C286" s="9"/>
      <c r="D286" s="9"/>
      <c r="E286" s="9"/>
      <c r="F286" s="9"/>
      <c r="G286" s="9"/>
    </row>
    <row r="287" customFormat="false" ht="15" hidden="false" customHeight="true" outlineLevel="0" collapsed="false">
      <c r="A287" s="8"/>
      <c r="B287" s="13"/>
      <c r="C287" s="9"/>
      <c r="D287" s="9"/>
      <c r="E287" s="9"/>
      <c r="F287" s="9"/>
      <c r="G287" s="9"/>
    </row>
    <row r="288" customFormat="false" ht="15" hidden="false" customHeight="true" outlineLevel="0" collapsed="false">
      <c r="A288" s="8"/>
      <c r="B288" s="13"/>
      <c r="C288" s="9"/>
      <c r="D288" s="9"/>
      <c r="E288" s="9"/>
      <c r="F288" s="9"/>
      <c r="G288" s="9"/>
    </row>
    <row r="289" customFormat="false" ht="15" hidden="false" customHeight="true" outlineLevel="0" collapsed="false">
      <c r="A289" s="8"/>
      <c r="B289" s="13"/>
      <c r="C289" s="9"/>
      <c r="D289" s="9"/>
      <c r="E289" s="9"/>
      <c r="F289" s="9"/>
      <c r="G289" s="9"/>
    </row>
    <row r="290" customFormat="false" ht="15" hidden="false" customHeight="true" outlineLevel="0" collapsed="false">
      <c r="A290" s="8"/>
      <c r="B290" s="13"/>
      <c r="C290" s="9"/>
      <c r="D290" s="9"/>
      <c r="E290" s="9"/>
      <c r="F290" s="9"/>
      <c r="G290" s="9"/>
    </row>
    <row r="291" customFormat="false" ht="15" hidden="false" customHeight="true" outlineLevel="0" collapsed="false">
      <c r="A291" s="8"/>
      <c r="B291" s="13"/>
      <c r="C291" s="9"/>
      <c r="D291" s="9"/>
      <c r="E291" s="9"/>
      <c r="F291" s="9"/>
      <c r="G291" s="9"/>
    </row>
    <row r="292" customFormat="false" ht="15" hidden="false" customHeight="true" outlineLevel="0" collapsed="false">
      <c r="A292" s="8"/>
      <c r="B292" s="13"/>
      <c r="C292" s="9"/>
      <c r="D292" s="9"/>
      <c r="E292" s="9"/>
      <c r="F292" s="9"/>
      <c r="G292" s="9"/>
    </row>
    <row r="293" customFormat="false" ht="15" hidden="false" customHeight="true" outlineLevel="0" collapsed="false">
      <c r="A293" s="8"/>
      <c r="B293" s="13"/>
      <c r="C293" s="9"/>
      <c r="D293" s="9"/>
      <c r="E293" s="9"/>
      <c r="F293" s="9"/>
      <c r="G293" s="9"/>
    </row>
    <row r="294" customFormat="false" ht="15" hidden="false" customHeight="true" outlineLevel="0" collapsed="false">
      <c r="A294" s="8"/>
      <c r="B294" s="13"/>
      <c r="C294" s="9"/>
      <c r="D294" s="9"/>
      <c r="E294" s="9"/>
      <c r="F294" s="9"/>
      <c r="G294" s="9"/>
    </row>
    <row r="295" customFormat="false" ht="15" hidden="false" customHeight="true" outlineLevel="0" collapsed="false">
      <c r="A295" s="8"/>
      <c r="B295" s="13"/>
      <c r="C295" s="9"/>
      <c r="D295" s="9"/>
      <c r="E295" s="9"/>
      <c r="F295" s="9"/>
      <c r="G295" s="9"/>
    </row>
    <row r="296" customFormat="false" ht="15" hidden="false" customHeight="true" outlineLevel="0" collapsed="false">
      <c r="A296" s="8"/>
      <c r="B296" s="13"/>
      <c r="C296" s="9"/>
      <c r="D296" s="9"/>
      <c r="E296" s="9"/>
      <c r="F296" s="9"/>
      <c r="G296" s="9"/>
    </row>
    <row r="297" customFormat="false" ht="15" hidden="false" customHeight="true" outlineLevel="0" collapsed="false">
      <c r="A297" s="8"/>
      <c r="B297" s="13"/>
      <c r="C297" s="9"/>
      <c r="D297" s="9"/>
      <c r="E297" s="9"/>
      <c r="F297" s="9"/>
      <c r="G297" s="9"/>
    </row>
    <row r="298" customFormat="false" ht="15" hidden="false" customHeight="true" outlineLevel="0" collapsed="false">
      <c r="A298" s="8"/>
      <c r="B298" s="13"/>
      <c r="C298" s="9"/>
      <c r="D298" s="9"/>
      <c r="E298" s="9"/>
      <c r="F298" s="9"/>
      <c r="G298" s="9"/>
    </row>
    <row r="299" customFormat="false" ht="15" hidden="false" customHeight="true" outlineLevel="0" collapsed="false">
      <c r="A299" s="8"/>
      <c r="B299" s="13"/>
      <c r="C299" s="9"/>
      <c r="D299" s="9"/>
      <c r="E299" s="9"/>
      <c r="F299" s="9"/>
      <c r="G299" s="9"/>
    </row>
    <row r="300" customFormat="false" ht="15" hidden="false" customHeight="true" outlineLevel="0" collapsed="false">
      <c r="A300" s="8"/>
      <c r="B300" s="13"/>
      <c r="C300" s="9"/>
      <c r="D300" s="9"/>
      <c r="E300" s="9"/>
      <c r="F300" s="9"/>
      <c r="G300" s="9"/>
    </row>
    <row r="301" customFormat="false" ht="15" hidden="false" customHeight="true" outlineLevel="0" collapsed="false">
      <c r="A301" s="8"/>
      <c r="B301" s="13"/>
      <c r="C301" s="9"/>
      <c r="D301" s="9"/>
      <c r="E301" s="9"/>
      <c r="F301" s="9"/>
      <c r="G301" s="9"/>
    </row>
    <row r="302" customFormat="false" ht="15" hidden="false" customHeight="true" outlineLevel="0" collapsed="false">
      <c r="A302" s="8"/>
      <c r="B302" s="13"/>
      <c r="C302" s="9"/>
      <c r="D302" s="9"/>
      <c r="E302" s="9"/>
      <c r="F302" s="9"/>
      <c r="G302" s="9"/>
    </row>
    <row r="303" customFormat="false" ht="15" hidden="false" customHeight="true" outlineLevel="0" collapsed="false">
      <c r="A303" s="8"/>
      <c r="B303" s="13"/>
      <c r="C303" s="9"/>
      <c r="D303" s="9"/>
      <c r="E303" s="9"/>
      <c r="F303" s="9"/>
      <c r="G303" s="9"/>
    </row>
    <row r="304" customFormat="false" ht="15" hidden="false" customHeight="true" outlineLevel="0" collapsed="false">
      <c r="A304" s="8"/>
      <c r="B304" s="13"/>
      <c r="C304" s="9"/>
      <c r="D304" s="9"/>
      <c r="E304" s="9"/>
      <c r="F304" s="9"/>
      <c r="G304" s="9"/>
    </row>
    <row r="305" customFormat="false" ht="15" hidden="false" customHeight="true" outlineLevel="0" collapsed="false">
      <c r="A305" s="8"/>
      <c r="B305" s="13"/>
      <c r="C305" s="9"/>
      <c r="D305" s="9"/>
      <c r="E305" s="9"/>
      <c r="F305" s="9"/>
      <c r="G305" s="9"/>
    </row>
    <row r="306" customFormat="false" ht="15" hidden="false" customHeight="true" outlineLevel="0" collapsed="false">
      <c r="A306" s="8"/>
      <c r="B306" s="13"/>
      <c r="C306" s="9"/>
      <c r="D306" s="9"/>
      <c r="E306" s="9"/>
      <c r="F306" s="9"/>
      <c r="G306" s="9"/>
    </row>
    <row r="307" customFormat="false" ht="15" hidden="false" customHeight="true" outlineLevel="0" collapsed="false">
      <c r="A307" s="8"/>
      <c r="B307" s="13"/>
      <c r="C307" s="9"/>
      <c r="D307" s="9"/>
      <c r="E307" s="9"/>
      <c r="F307" s="9"/>
      <c r="G307" s="9"/>
    </row>
    <row r="308" customFormat="false" ht="15" hidden="false" customHeight="true" outlineLevel="0" collapsed="false">
      <c r="A308" s="8"/>
      <c r="B308" s="13"/>
      <c r="C308" s="9"/>
      <c r="D308" s="9"/>
      <c r="E308" s="9"/>
      <c r="F308" s="9"/>
      <c r="G308" s="9"/>
    </row>
    <row r="309" customFormat="false" ht="15" hidden="false" customHeight="true" outlineLevel="0" collapsed="false">
      <c r="A309" s="8"/>
      <c r="B309" s="13"/>
      <c r="C309" s="9"/>
      <c r="D309" s="9"/>
      <c r="E309" s="9"/>
      <c r="F309" s="9"/>
      <c r="G309" s="9"/>
    </row>
    <row r="310" customFormat="false" ht="15" hidden="false" customHeight="true" outlineLevel="0" collapsed="false">
      <c r="A310" s="8"/>
      <c r="B310" s="13"/>
      <c r="C310" s="9"/>
      <c r="D310" s="9"/>
      <c r="E310" s="9"/>
      <c r="F310" s="9"/>
      <c r="G310" s="9"/>
    </row>
    <row r="311" customFormat="false" ht="15" hidden="false" customHeight="true" outlineLevel="0" collapsed="false">
      <c r="A311" s="8"/>
      <c r="B311" s="13"/>
      <c r="C311" s="9"/>
      <c r="D311" s="9"/>
      <c r="E311" s="9"/>
      <c r="F311" s="9"/>
      <c r="G311" s="9"/>
    </row>
    <row r="312" customFormat="false" ht="15" hidden="false" customHeight="true" outlineLevel="0" collapsed="false">
      <c r="A312" s="8"/>
      <c r="B312" s="13"/>
      <c r="C312" s="9"/>
      <c r="D312" s="9"/>
      <c r="E312" s="9"/>
      <c r="F312" s="9"/>
      <c r="G312" s="9"/>
    </row>
    <row r="313" customFormat="false" ht="15" hidden="false" customHeight="true" outlineLevel="0" collapsed="false">
      <c r="A313" s="8"/>
      <c r="B313" s="13"/>
      <c r="C313" s="9"/>
      <c r="D313" s="9"/>
      <c r="E313" s="9"/>
      <c r="F313" s="9"/>
      <c r="G313" s="9"/>
    </row>
    <row r="314" customFormat="false" ht="15" hidden="false" customHeight="true" outlineLevel="0" collapsed="false">
      <c r="A314" s="8"/>
      <c r="B314" s="13"/>
      <c r="C314" s="9"/>
      <c r="D314" s="9"/>
      <c r="E314" s="9"/>
      <c r="F314" s="9"/>
      <c r="G314" s="9"/>
    </row>
    <row r="315" customFormat="false" ht="15" hidden="false" customHeight="true" outlineLevel="0" collapsed="false">
      <c r="A315" s="8"/>
      <c r="B315" s="13"/>
      <c r="C315" s="9"/>
      <c r="D315" s="9"/>
      <c r="E315" s="9"/>
      <c r="F315" s="9"/>
      <c r="G315" s="9"/>
    </row>
    <row r="316" customFormat="false" ht="15" hidden="false" customHeight="true" outlineLevel="0" collapsed="false">
      <c r="A316" s="8"/>
      <c r="B316" s="13"/>
      <c r="C316" s="9"/>
      <c r="D316" s="9"/>
      <c r="E316" s="9"/>
      <c r="F316" s="9"/>
      <c r="G316" s="9"/>
    </row>
    <row r="317" customFormat="false" ht="15" hidden="false" customHeight="true" outlineLevel="0" collapsed="false">
      <c r="A317" s="8"/>
      <c r="B317" s="13"/>
      <c r="C317" s="9"/>
      <c r="D317" s="9"/>
      <c r="E317" s="9"/>
      <c r="F317" s="9"/>
      <c r="G317" s="9"/>
    </row>
    <row r="318" customFormat="false" ht="15" hidden="false" customHeight="true" outlineLevel="0" collapsed="false">
      <c r="A318" s="8"/>
      <c r="B318" s="13"/>
      <c r="C318" s="9"/>
      <c r="D318" s="9"/>
      <c r="E318" s="9"/>
      <c r="F318" s="9"/>
      <c r="G318" s="9"/>
    </row>
    <row r="319" customFormat="false" ht="15" hidden="false" customHeight="true" outlineLevel="0" collapsed="false">
      <c r="A319" s="8"/>
      <c r="B319" s="13"/>
      <c r="C319" s="9"/>
      <c r="D319" s="9"/>
      <c r="E319" s="9"/>
      <c r="F319" s="9"/>
      <c r="G319" s="9"/>
    </row>
    <row r="320" customFormat="false" ht="15" hidden="false" customHeight="true" outlineLevel="0" collapsed="false">
      <c r="A320" s="8"/>
      <c r="B320" s="13"/>
      <c r="C320" s="9"/>
      <c r="D320" s="9"/>
      <c r="E320" s="9"/>
      <c r="F320" s="9"/>
      <c r="G320" s="9"/>
    </row>
    <row r="321" customFormat="false" ht="15" hidden="false" customHeight="true" outlineLevel="0" collapsed="false">
      <c r="A321" s="8"/>
      <c r="B321" s="13"/>
      <c r="C321" s="9"/>
      <c r="D321" s="9"/>
      <c r="E321" s="9"/>
      <c r="F321" s="9"/>
      <c r="G321" s="9"/>
    </row>
    <row r="322" customFormat="false" ht="15" hidden="false" customHeight="true" outlineLevel="0" collapsed="false">
      <c r="A322" s="8"/>
      <c r="B322" s="13"/>
      <c r="C322" s="9"/>
      <c r="D322" s="9"/>
      <c r="E322" s="9"/>
      <c r="F322" s="9"/>
      <c r="G322" s="9"/>
    </row>
    <row r="323" customFormat="false" ht="15" hidden="false" customHeight="true" outlineLevel="0" collapsed="false">
      <c r="A323" s="8"/>
      <c r="B323" s="13"/>
      <c r="C323" s="9"/>
      <c r="D323" s="9"/>
      <c r="E323" s="9"/>
      <c r="F323" s="9"/>
      <c r="G323" s="9"/>
    </row>
    <row r="324" customFormat="false" ht="15" hidden="false" customHeight="true" outlineLevel="0" collapsed="false">
      <c r="A324" s="8"/>
      <c r="B324" s="13"/>
      <c r="C324" s="9"/>
      <c r="D324" s="9"/>
      <c r="E324" s="9"/>
      <c r="F324" s="9"/>
      <c r="G324" s="9"/>
    </row>
    <row r="325" customFormat="false" ht="15" hidden="false" customHeight="true" outlineLevel="0" collapsed="false">
      <c r="A325" s="8"/>
      <c r="B325" s="13"/>
      <c r="C325" s="9"/>
      <c r="D325" s="9"/>
      <c r="E325" s="9"/>
      <c r="F325" s="9"/>
      <c r="G325" s="9"/>
    </row>
    <row r="326" customFormat="false" ht="15" hidden="false" customHeight="true" outlineLevel="0" collapsed="false">
      <c r="A326" s="8"/>
      <c r="B326" s="13"/>
      <c r="C326" s="9"/>
      <c r="D326" s="9"/>
      <c r="E326" s="9"/>
      <c r="F326" s="9"/>
      <c r="G326" s="9"/>
    </row>
    <row r="327" customFormat="false" ht="15" hidden="false" customHeight="true" outlineLevel="0" collapsed="false">
      <c r="A327" s="8"/>
      <c r="B327" s="13"/>
      <c r="C327" s="9"/>
      <c r="D327" s="9"/>
      <c r="E327" s="9"/>
      <c r="F327" s="9"/>
      <c r="G327" s="9"/>
    </row>
    <row r="328" customFormat="false" ht="15" hidden="false" customHeight="true" outlineLevel="0" collapsed="false">
      <c r="A328" s="8"/>
      <c r="B328" s="13"/>
      <c r="C328" s="9"/>
      <c r="D328" s="9"/>
      <c r="E328" s="9"/>
      <c r="F328" s="9"/>
      <c r="G328" s="9"/>
    </row>
    <row r="329" customFormat="false" ht="15" hidden="false" customHeight="true" outlineLevel="0" collapsed="false">
      <c r="A329" s="8"/>
      <c r="B329" s="13"/>
      <c r="C329" s="9"/>
      <c r="D329" s="9"/>
      <c r="E329" s="9"/>
      <c r="F329" s="9"/>
      <c r="G329" s="9"/>
    </row>
    <row r="330" customFormat="false" ht="15" hidden="false" customHeight="true" outlineLevel="0" collapsed="false">
      <c r="A330" s="8"/>
      <c r="B330" s="13"/>
      <c r="C330" s="9"/>
      <c r="D330" s="9"/>
      <c r="E330" s="9"/>
      <c r="F330" s="9"/>
      <c r="G330" s="9"/>
    </row>
    <row r="331" customFormat="false" ht="15" hidden="false" customHeight="true" outlineLevel="0" collapsed="false">
      <c r="A331" s="8"/>
      <c r="B331" s="13"/>
      <c r="C331" s="9"/>
      <c r="D331" s="9"/>
      <c r="E331" s="9"/>
      <c r="F331" s="9"/>
      <c r="G331" s="9"/>
    </row>
    <row r="332" customFormat="false" ht="15" hidden="false" customHeight="true" outlineLevel="0" collapsed="false">
      <c r="A332" s="8"/>
      <c r="B332" s="13"/>
      <c r="C332" s="9"/>
      <c r="D332" s="9"/>
      <c r="E332" s="9"/>
      <c r="F332" s="9"/>
      <c r="G332" s="9"/>
    </row>
    <row r="333" customFormat="false" ht="15" hidden="false" customHeight="true" outlineLevel="0" collapsed="false">
      <c r="A333" s="8"/>
      <c r="B333" s="13"/>
      <c r="C333" s="9"/>
      <c r="D333" s="9"/>
      <c r="E333" s="9"/>
      <c r="F333" s="9"/>
      <c r="G333" s="9"/>
    </row>
    <row r="334" customFormat="false" ht="15" hidden="false" customHeight="true" outlineLevel="0" collapsed="false">
      <c r="A334" s="8"/>
      <c r="B334" s="13"/>
      <c r="C334" s="9"/>
      <c r="D334" s="9"/>
      <c r="E334" s="9"/>
      <c r="F334" s="9"/>
      <c r="G334" s="9"/>
    </row>
    <row r="335" customFormat="false" ht="15" hidden="false" customHeight="true" outlineLevel="0" collapsed="false">
      <c r="A335" s="8"/>
      <c r="B335" s="13"/>
      <c r="C335" s="9"/>
      <c r="D335" s="9"/>
      <c r="E335" s="9"/>
      <c r="F335" s="9"/>
      <c r="G335" s="9"/>
    </row>
    <row r="336" customFormat="false" ht="15" hidden="false" customHeight="true" outlineLevel="0" collapsed="false">
      <c r="A336" s="8"/>
      <c r="B336" s="13"/>
      <c r="C336" s="9"/>
      <c r="D336" s="9"/>
      <c r="E336" s="9"/>
      <c r="F336" s="9"/>
      <c r="G336" s="9"/>
    </row>
    <row r="337" customFormat="false" ht="15" hidden="false" customHeight="true" outlineLevel="0" collapsed="false">
      <c r="A337" s="8"/>
      <c r="B337" s="13"/>
      <c r="C337" s="9"/>
      <c r="D337" s="9"/>
      <c r="E337" s="9"/>
      <c r="F337" s="9"/>
      <c r="G337" s="9"/>
    </row>
    <row r="338" customFormat="false" ht="15" hidden="false" customHeight="true" outlineLevel="0" collapsed="false">
      <c r="A338" s="8"/>
      <c r="B338" s="13"/>
      <c r="C338" s="9"/>
      <c r="D338" s="9"/>
      <c r="E338" s="9"/>
      <c r="F338" s="9"/>
      <c r="G338" s="9"/>
    </row>
    <row r="339" customFormat="false" ht="15" hidden="false" customHeight="true" outlineLevel="0" collapsed="false">
      <c r="A339" s="8"/>
      <c r="B339" s="13"/>
      <c r="C339" s="9"/>
      <c r="D339" s="9"/>
      <c r="E339" s="9"/>
      <c r="F339" s="9"/>
      <c r="G339" s="9"/>
    </row>
    <row r="340" customFormat="false" ht="15" hidden="false" customHeight="true" outlineLevel="0" collapsed="false">
      <c r="A340" s="8"/>
      <c r="B340" s="13"/>
      <c r="C340" s="9"/>
      <c r="D340" s="9"/>
      <c r="E340" s="9"/>
      <c r="F340" s="9"/>
      <c r="G340" s="9"/>
    </row>
    <row r="341" customFormat="false" ht="15" hidden="false" customHeight="true" outlineLevel="0" collapsed="false">
      <c r="A341" s="8"/>
      <c r="B341" s="13"/>
      <c r="C341" s="9"/>
      <c r="D341" s="9"/>
      <c r="E341" s="9"/>
      <c r="F341" s="9"/>
      <c r="G341" s="9"/>
    </row>
    <row r="342" customFormat="false" ht="15" hidden="false" customHeight="true" outlineLevel="0" collapsed="false">
      <c r="A342" s="8"/>
      <c r="B342" s="13"/>
      <c r="C342" s="9"/>
      <c r="D342" s="9"/>
      <c r="E342" s="9"/>
      <c r="F342" s="9"/>
      <c r="G342" s="9"/>
    </row>
    <row r="343" customFormat="false" ht="15" hidden="false" customHeight="true" outlineLevel="0" collapsed="false">
      <c r="A343" s="8"/>
      <c r="B343" s="13"/>
      <c r="C343" s="9"/>
      <c r="D343" s="9"/>
      <c r="E343" s="9"/>
      <c r="F343" s="9"/>
      <c r="G343" s="9"/>
    </row>
    <row r="344" customFormat="false" ht="15" hidden="false" customHeight="true" outlineLevel="0" collapsed="false">
      <c r="A344" s="8"/>
      <c r="B344" s="13"/>
      <c r="C344" s="9"/>
      <c r="D344" s="9"/>
      <c r="E344" s="9"/>
      <c r="F344" s="9"/>
      <c r="G344" s="9"/>
    </row>
    <row r="345" customFormat="false" ht="15" hidden="false" customHeight="true" outlineLevel="0" collapsed="false">
      <c r="A345" s="8"/>
      <c r="B345" s="13"/>
      <c r="C345" s="9"/>
      <c r="D345" s="9"/>
      <c r="E345" s="9"/>
      <c r="F345" s="9"/>
      <c r="G345" s="9"/>
    </row>
    <row r="346" customFormat="false" ht="15" hidden="false" customHeight="true" outlineLevel="0" collapsed="false">
      <c r="A346" s="8"/>
      <c r="B346" s="13"/>
      <c r="C346" s="9"/>
      <c r="D346" s="9"/>
      <c r="E346" s="9"/>
      <c r="F346" s="9"/>
      <c r="G346" s="9"/>
    </row>
    <row r="347" customFormat="false" ht="15" hidden="false" customHeight="true" outlineLevel="0" collapsed="false">
      <c r="A347" s="8"/>
      <c r="B347" s="13"/>
      <c r="C347" s="9"/>
      <c r="D347" s="9"/>
      <c r="E347" s="9"/>
      <c r="F347" s="9"/>
      <c r="G347" s="9"/>
    </row>
    <row r="348" customFormat="false" ht="15" hidden="false" customHeight="true" outlineLevel="0" collapsed="false">
      <c r="A348" s="8"/>
      <c r="B348" s="13"/>
      <c r="C348" s="9"/>
      <c r="D348" s="9"/>
      <c r="E348" s="9"/>
      <c r="F348" s="9"/>
      <c r="G348" s="9"/>
    </row>
    <row r="349" customFormat="false" ht="15" hidden="false" customHeight="true" outlineLevel="0" collapsed="false">
      <c r="A349" s="8"/>
      <c r="B349" s="13"/>
      <c r="C349" s="9"/>
      <c r="D349" s="9"/>
      <c r="E349" s="9"/>
      <c r="F349" s="9"/>
      <c r="G349" s="9"/>
    </row>
    <row r="350" customFormat="false" ht="15" hidden="false" customHeight="true" outlineLevel="0" collapsed="false">
      <c r="A350" s="8"/>
      <c r="B350" s="13"/>
      <c r="C350" s="9"/>
      <c r="D350" s="9"/>
      <c r="E350" s="9"/>
      <c r="F350" s="9"/>
      <c r="G350" s="9"/>
    </row>
    <row r="351" customFormat="false" ht="15" hidden="false" customHeight="true" outlineLevel="0" collapsed="false">
      <c r="A351" s="8"/>
      <c r="B351" s="13"/>
      <c r="C351" s="9"/>
      <c r="D351" s="9"/>
      <c r="E351" s="9"/>
      <c r="F351" s="9"/>
      <c r="G351" s="9"/>
    </row>
    <row r="352" customFormat="false" ht="15" hidden="false" customHeight="true" outlineLevel="0" collapsed="false">
      <c r="A352" s="8"/>
      <c r="B352" s="13"/>
      <c r="C352" s="9"/>
      <c r="D352" s="9"/>
      <c r="E352" s="9"/>
      <c r="F352" s="9"/>
      <c r="G352" s="9"/>
    </row>
    <row r="353" customFormat="false" ht="15" hidden="false" customHeight="true" outlineLevel="0" collapsed="false">
      <c r="A353" s="8"/>
      <c r="B353" s="13"/>
      <c r="C353" s="9"/>
      <c r="D353" s="9"/>
      <c r="E353" s="9"/>
      <c r="F353" s="9"/>
      <c r="G353" s="9"/>
    </row>
    <row r="354" customFormat="false" ht="15" hidden="false" customHeight="true" outlineLevel="0" collapsed="false">
      <c r="A354" s="8"/>
      <c r="B354" s="13"/>
      <c r="C354" s="9"/>
      <c r="D354" s="9"/>
      <c r="E354" s="9"/>
      <c r="F354" s="9"/>
      <c r="G354" s="9"/>
    </row>
    <row r="355" customFormat="false" ht="15" hidden="false" customHeight="true" outlineLevel="0" collapsed="false">
      <c r="A355" s="8"/>
      <c r="B355" s="13"/>
      <c r="C355" s="9"/>
      <c r="D355" s="9"/>
      <c r="E355" s="9"/>
      <c r="F355" s="9"/>
      <c r="G355" s="9"/>
    </row>
    <row r="356" customFormat="false" ht="15" hidden="false" customHeight="true" outlineLevel="0" collapsed="false">
      <c r="A356" s="8"/>
      <c r="B356" s="13"/>
      <c r="C356" s="9"/>
      <c r="D356" s="9"/>
      <c r="E356" s="9"/>
      <c r="F356" s="9"/>
      <c r="G356" s="9"/>
    </row>
    <row r="357" customFormat="false" ht="15" hidden="false" customHeight="true" outlineLevel="0" collapsed="false">
      <c r="A357" s="8"/>
      <c r="B357" s="13"/>
      <c r="C357" s="9"/>
      <c r="D357" s="9"/>
      <c r="E357" s="9"/>
      <c r="F357" s="9"/>
      <c r="G357" s="9"/>
    </row>
    <row r="358" customFormat="false" ht="15" hidden="false" customHeight="true" outlineLevel="0" collapsed="false">
      <c r="A358" s="8"/>
      <c r="B358" s="13"/>
      <c r="C358" s="9"/>
      <c r="D358" s="9"/>
      <c r="E358" s="9"/>
      <c r="F358" s="9"/>
      <c r="G358" s="9"/>
    </row>
    <row r="359" customFormat="false" ht="15" hidden="false" customHeight="true" outlineLevel="0" collapsed="false">
      <c r="A359" s="8"/>
      <c r="B359" s="13"/>
      <c r="C359" s="9"/>
      <c r="D359" s="9"/>
      <c r="E359" s="9"/>
      <c r="F359" s="9"/>
      <c r="G359" s="9"/>
    </row>
    <row r="360" customFormat="false" ht="15" hidden="false" customHeight="true" outlineLevel="0" collapsed="false">
      <c r="A360" s="8"/>
      <c r="B360" s="13"/>
      <c r="C360" s="9"/>
      <c r="D360" s="9"/>
      <c r="E360" s="9"/>
      <c r="F360" s="9"/>
      <c r="G360" s="9"/>
    </row>
    <row r="361" customFormat="false" ht="15" hidden="false" customHeight="true" outlineLevel="0" collapsed="false">
      <c r="A361" s="8"/>
      <c r="B361" s="13"/>
      <c r="C361" s="9"/>
      <c r="D361" s="9"/>
      <c r="E361" s="9"/>
      <c r="F361" s="9"/>
      <c r="G361" s="9"/>
    </row>
    <row r="362" customFormat="false" ht="15" hidden="false" customHeight="true" outlineLevel="0" collapsed="false">
      <c r="A362" s="8"/>
      <c r="B362" s="13"/>
      <c r="C362" s="9"/>
      <c r="D362" s="9"/>
      <c r="E362" s="9"/>
      <c r="F362" s="9"/>
      <c r="G362" s="9"/>
    </row>
    <row r="363" customFormat="false" ht="15" hidden="false" customHeight="true" outlineLevel="0" collapsed="false">
      <c r="A363" s="8"/>
      <c r="B363" s="13"/>
      <c r="C363" s="9"/>
      <c r="D363" s="9"/>
      <c r="E363" s="9"/>
      <c r="F363" s="9"/>
      <c r="G363" s="9"/>
    </row>
    <row r="364" customFormat="false" ht="15" hidden="false" customHeight="true" outlineLevel="0" collapsed="false">
      <c r="A364" s="8"/>
      <c r="B364" s="13"/>
      <c r="C364" s="9"/>
      <c r="D364" s="9"/>
      <c r="E364" s="9"/>
      <c r="F364" s="9"/>
      <c r="G364" s="9"/>
    </row>
    <row r="365" customFormat="false" ht="15" hidden="false" customHeight="true" outlineLevel="0" collapsed="false">
      <c r="A365" s="8"/>
      <c r="B365" s="13"/>
      <c r="C365" s="9"/>
      <c r="D365" s="9"/>
      <c r="E365" s="9"/>
      <c r="F365" s="9"/>
      <c r="G365" s="9"/>
    </row>
    <row r="366" customFormat="false" ht="15" hidden="false" customHeight="true" outlineLevel="0" collapsed="false">
      <c r="A366" s="8"/>
      <c r="B366" s="13"/>
      <c r="C366" s="9"/>
      <c r="D366" s="9"/>
      <c r="E366" s="9"/>
      <c r="F366" s="9"/>
      <c r="G366" s="9"/>
    </row>
    <row r="367" customFormat="false" ht="15" hidden="false" customHeight="true" outlineLevel="0" collapsed="false">
      <c r="A367" s="8"/>
      <c r="B367" s="13"/>
      <c r="C367" s="9"/>
      <c r="D367" s="9"/>
      <c r="E367" s="9"/>
      <c r="F367" s="9"/>
      <c r="G367" s="9"/>
    </row>
    <row r="368" customFormat="false" ht="15" hidden="false" customHeight="true" outlineLevel="0" collapsed="false">
      <c r="A368" s="8"/>
      <c r="B368" s="13"/>
      <c r="C368" s="9"/>
      <c r="D368" s="9"/>
      <c r="E368" s="9"/>
      <c r="F368" s="9"/>
      <c r="G368" s="9"/>
    </row>
    <row r="369" customFormat="false" ht="15" hidden="false" customHeight="true" outlineLevel="0" collapsed="false">
      <c r="A369" s="8"/>
      <c r="B369" s="13"/>
      <c r="C369" s="9"/>
      <c r="D369" s="9"/>
      <c r="E369" s="9"/>
      <c r="F369" s="9"/>
      <c r="G369" s="9"/>
    </row>
    <row r="370" customFormat="false" ht="15" hidden="false" customHeight="true" outlineLevel="0" collapsed="false">
      <c r="A370" s="8"/>
      <c r="B370" s="13"/>
      <c r="C370" s="9"/>
      <c r="D370" s="9"/>
      <c r="E370" s="9"/>
      <c r="F370" s="9"/>
      <c r="G370" s="9"/>
    </row>
    <row r="371" customFormat="false" ht="15" hidden="false" customHeight="true" outlineLevel="0" collapsed="false">
      <c r="A371" s="8"/>
      <c r="B371" s="13"/>
      <c r="C371" s="9"/>
      <c r="D371" s="9"/>
      <c r="E371" s="9"/>
      <c r="F371" s="9"/>
      <c r="G371" s="9"/>
    </row>
    <row r="372" customFormat="false" ht="15" hidden="false" customHeight="true" outlineLevel="0" collapsed="false">
      <c r="A372" s="8"/>
      <c r="B372" s="13"/>
      <c r="C372" s="9"/>
      <c r="D372" s="9"/>
      <c r="E372" s="9"/>
      <c r="F372" s="9"/>
      <c r="G372" s="9"/>
    </row>
    <row r="373" customFormat="false" ht="15" hidden="false" customHeight="true" outlineLevel="0" collapsed="false">
      <c r="A373" s="8"/>
      <c r="B373" s="13"/>
      <c r="C373" s="9"/>
      <c r="D373" s="9"/>
      <c r="E373" s="9"/>
      <c r="F373" s="9"/>
      <c r="G373" s="9"/>
    </row>
    <row r="374" customFormat="false" ht="15" hidden="false" customHeight="true" outlineLevel="0" collapsed="false">
      <c r="A374" s="8"/>
      <c r="B374" s="13"/>
      <c r="C374" s="9"/>
      <c r="D374" s="9"/>
      <c r="E374" s="9"/>
      <c r="F374" s="9"/>
      <c r="G374" s="9"/>
    </row>
    <row r="375" customFormat="false" ht="15" hidden="false" customHeight="true" outlineLevel="0" collapsed="false">
      <c r="A375" s="8"/>
      <c r="B375" s="13"/>
      <c r="C375" s="9"/>
      <c r="D375" s="9"/>
      <c r="E375" s="9"/>
      <c r="F375" s="9"/>
      <c r="G375" s="9"/>
    </row>
    <row r="376" customFormat="false" ht="15" hidden="false" customHeight="true" outlineLevel="0" collapsed="false">
      <c r="A376" s="8"/>
      <c r="B376" s="13"/>
      <c r="C376" s="9"/>
      <c r="D376" s="9"/>
      <c r="E376" s="9"/>
      <c r="F376" s="9"/>
      <c r="G376" s="9"/>
    </row>
    <row r="377" customFormat="false" ht="15" hidden="false" customHeight="true" outlineLevel="0" collapsed="false">
      <c r="A377" s="8"/>
      <c r="B377" s="13"/>
      <c r="C377" s="9"/>
      <c r="D377" s="9"/>
      <c r="E377" s="9"/>
      <c r="F377" s="9"/>
      <c r="G377" s="9"/>
    </row>
    <row r="378" customFormat="false" ht="15" hidden="false" customHeight="true" outlineLevel="0" collapsed="false">
      <c r="A378" s="8"/>
      <c r="B378" s="13"/>
      <c r="C378" s="9"/>
      <c r="D378" s="9"/>
      <c r="E378" s="9"/>
      <c r="F378" s="9"/>
      <c r="G378" s="9"/>
    </row>
    <row r="379" customFormat="false" ht="15" hidden="false" customHeight="true" outlineLevel="0" collapsed="false">
      <c r="A379" s="8"/>
      <c r="B379" s="13"/>
      <c r="C379" s="9"/>
      <c r="D379" s="9"/>
      <c r="E379" s="9"/>
      <c r="F379" s="9"/>
      <c r="G379" s="9"/>
    </row>
    <row r="380" customFormat="false" ht="15" hidden="false" customHeight="true" outlineLevel="0" collapsed="false">
      <c r="A380" s="8"/>
      <c r="B380" s="13"/>
      <c r="C380" s="9"/>
      <c r="D380" s="9"/>
      <c r="E380" s="9"/>
      <c r="F380" s="9"/>
      <c r="G380" s="9"/>
    </row>
    <row r="381" customFormat="false" ht="15" hidden="false" customHeight="true" outlineLevel="0" collapsed="false">
      <c r="A381" s="8"/>
      <c r="B381" s="13"/>
      <c r="C381" s="9"/>
      <c r="D381" s="9"/>
      <c r="E381" s="9"/>
      <c r="F381" s="9"/>
      <c r="G381" s="9"/>
    </row>
    <row r="382" customFormat="false" ht="15" hidden="false" customHeight="true" outlineLevel="0" collapsed="false">
      <c r="A382" s="8"/>
      <c r="B382" s="13"/>
      <c r="C382" s="9"/>
      <c r="D382" s="9"/>
      <c r="E382" s="9"/>
      <c r="F382" s="9"/>
      <c r="G382" s="9"/>
    </row>
    <row r="383" customFormat="false" ht="15" hidden="false" customHeight="true" outlineLevel="0" collapsed="false">
      <c r="A383" s="8"/>
      <c r="B383" s="13"/>
      <c r="C383" s="9"/>
      <c r="D383" s="9"/>
      <c r="E383" s="9"/>
      <c r="F383" s="9"/>
      <c r="G383" s="9"/>
    </row>
    <row r="384" customFormat="false" ht="15" hidden="false" customHeight="true" outlineLevel="0" collapsed="false">
      <c r="A384" s="8"/>
      <c r="B384" s="13"/>
      <c r="C384" s="9"/>
      <c r="D384" s="9"/>
      <c r="E384" s="9"/>
      <c r="F384" s="9"/>
      <c r="G384" s="9"/>
    </row>
    <row r="385" customFormat="false" ht="15" hidden="false" customHeight="true" outlineLevel="0" collapsed="false">
      <c r="A385" s="8"/>
      <c r="B385" s="13"/>
      <c r="C385" s="9"/>
      <c r="D385" s="9"/>
      <c r="E385" s="9"/>
      <c r="F385" s="9"/>
      <c r="G385" s="9"/>
    </row>
    <row r="386" customFormat="false" ht="15" hidden="false" customHeight="true" outlineLevel="0" collapsed="false">
      <c r="A386" s="8"/>
      <c r="B386" s="13"/>
      <c r="C386" s="9"/>
      <c r="D386" s="9"/>
      <c r="E386" s="9"/>
      <c r="F386" s="9"/>
      <c r="G386" s="9"/>
    </row>
    <row r="387" customFormat="false" ht="15" hidden="false" customHeight="true" outlineLevel="0" collapsed="false">
      <c r="A387" s="8"/>
      <c r="B387" s="13"/>
      <c r="C387" s="9"/>
      <c r="D387" s="9"/>
      <c r="E387" s="9"/>
      <c r="F387" s="9"/>
      <c r="G387" s="9"/>
    </row>
    <row r="388" customFormat="false" ht="15" hidden="false" customHeight="true" outlineLevel="0" collapsed="false">
      <c r="A388" s="8"/>
      <c r="B388" s="13"/>
      <c r="C388" s="9"/>
      <c r="D388" s="9"/>
      <c r="E388" s="9"/>
      <c r="F388" s="9"/>
      <c r="G388" s="9"/>
    </row>
    <row r="389" customFormat="false" ht="15" hidden="false" customHeight="true" outlineLevel="0" collapsed="false">
      <c r="A389" s="8"/>
      <c r="B389" s="13"/>
      <c r="C389" s="9"/>
      <c r="D389" s="9"/>
      <c r="E389" s="9"/>
      <c r="F389" s="9"/>
      <c r="G389" s="9"/>
    </row>
    <row r="390" customFormat="false" ht="15" hidden="false" customHeight="true" outlineLevel="0" collapsed="false">
      <c r="A390" s="8"/>
      <c r="B390" s="13"/>
      <c r="C390" s="9"/>
      <c r="D390" s="9"/>
      <c r="E390" s="9"/>
      <c r="F390" s="9"/>
      <c r="G390" s="9"/>
    </row>
    <row r="391" customFormat="false" ht="15" hidden="false" customHeight="true" outlineLevel="0" collapsed="false">
      <c r="A391" s="8"/>
      <c r="B391" s="13"/>
      <c r="C391" s="9"/>
      <c r="D391" s="9"/>
      <c r="E391" s="9"/>
      <c r="F391" s="9"/>
      <c r="G391" s="9"/>
    </row>
    <row r="392" customFormat="false" ht="15" hidden="false" customHeight="true" outlineLevel="0" collapsed="false">
      <c r="A392" s="8"/>
      <c r="B392" s="13"/>
      <c r="C392" s="9"/>
      <c r="D392" s="9"/>
      <c r="E392" s="9"/>
      <c r="F392" s="9"/>
      <c r="G392" s="9"/>
    </row>
    <row r="393" customFormat="false" ht="15" hidden="false" customHeight="true" outlineLevel="0" collapsed="false">
      <c r="A393" s="8"/>
      <c r="B393" s="13"/>
      <c r="C393" s="9"/>
      <c r="D393" s="9"/>
      <c r="E393" s="9"/>
      <c r="F393" s="9"/>
      <c r="G393" s="9"/>
    </row>
    <row r="394" customFormat="false" ht="15" hidden="false" customHeight="true" outlineLevel="0" collapsed="false">
      <c r="A394" s="8"/>
      <c r="B394" s="13"/>
      <c r="C394" s="9"/>
      <c r="D394" s="9"/>
      <c r="E394" s="9"/>
      <c r="F394" s="9"/>
      <c r="G394" s="9"/>
    </row>
    <row r="395" customFormat="false" ht="15" hidden="false" customHeight="true" outlineLevel="0" collapsed="false">
      <c r="A395" s="8"/>
      <c r="B395" s="13"/>
      <c r="C395" s="9"/>
      <c r="D395" s="9"/>
      <c r="E395" s="9"/>
      <c r="F395" s="9"/>
      <c r="G395" s="9"/>
    </row>
    <row r="396" customFormat="false" ht="15" hidden="false" customHeight="true" outlineLevel="0" collapsed="false">
      <c r="A396" s="8"/>
      <c r="B396" s="13"/>
      <c r="C396" s="9"/>
      <c r="D396" s="9"/>
      <c r="E396" s="9"/>
      <c r="F396" s="9"/>
      <c r="G396" s="9"/>
    </row>
    <row r="397" customFormat="false" ht="15" hidden="false" customHeight="true" outlineLevel="0" collapsed="false">
      <c r="A397" s="8"/>
      <c r="B397" s="13"/>
      <c r="C397" s="9"/>
      <c r="D397" s="9"/>
      <c r="E397" s="9"/>
      <c r="F397" s="9"/>
      <c r="G397" s="9"/>
    </row>
    <row r="398" customFormat="false" ht="15" hidden="false" customHeight="true" outlineLevel="0" collapsed="false">
      <c r="A398" s="8"/>
      <c r="B398" s="13"/>
      <c r="C398" s="9"/>
      <c r="D398" s="9"/>
      <c r="E398" s="9"/>
      <c r="F398" s="9"/>
      <c r="G398" s="9"/>
    </row>
    <row r="399" customFormat="false" ht="15" hidden="false" customHeight="true" outlineLevel="0" collapsed="false">
      <c r="A399" s="8"/>
      <c r="B399" s="13"/>
      <c r="C399" s="9"/>
      <c r="D399" s="9"/>
      <c r="E399" s="9"/>
      <c r="F399" s="9"/>
      <c r="G399" s="9"/>
    </row>
    <row r="400" customFormat="false" ht="15" hidden="false" customHeight="true" outlineLevel="0" collapsed="false">
      <c r="A400" s="8"/>
      <c r="B400" s="13"/>
      <c r="C400" s="9"/>
      <c r="D400" s="9"/>
      <c r="E400" s="9"/>
      <c r="F400" s="9"/>
      <c r="G400" s="9"/>
    </row>
    <row r="401" customFormat="false" ht="15" hidden="false" customHeight="true" outlineLevel="0" collapsed="false">
      <c r="A401" s="8"/>
      <c r="B401" s="13"/>
      <c r="C401" s="9"/>
      <c r="D401" s="9"/>
      <c r="E401" s="9"/>
      <c r="F401" s="9"/>
      <c r="G401" s="9"/>
    </row>
    <row r="402" customFormat="false" ht="15" hidden="false" customHeight="true" outlineLevel="0" collapsed="false">
      <c r="A402" s="8"/>
      <c r="B402" s="13"/>
      <c r="C402" s="9"/>
      <c r="D402" s="9"/>
      <c r="E402" s="9"/>
      <c r="F402" s="9"/>
      <c r="G402" s="9"/>
    </row>
    <row r="403" customFormat="false" ht="15" hidden="false" customHeight="true" outlineLevel="0" collapsed="false">
      <c r="A403" s="8"/>
      <c r="B403" s="13"/>
      <c r="C403" s="9"/>
      <c r="D403" s="9"/>
      <c r="E403" s="9"/>
      <c r="F403" s="9"/>
      <c r="G403" s="9"/>
    </row>
    <row r="404" customFormat="false" ht="15" hidden="false" customHeight="true" outlineLevel="0" collapsed="false">
      <c r="A404" s="8"/>
      <c r="B404" s="13"/>
      <c r="C404" s="9"/>
      <c r="D404" s="9"/>
      <c r="E404" s="9"/>
      <c r="F404" s="9"/>
      <c r="G404" s="9"/>
    </row>
    <row r="405" customFormat="false" ht="15" hidden="false" customHeight="true" outlineLevel="0" collapsed="false">
      <c r="A405" s="8"/>
      <c r="B405" s="13"/>
      <c r="C405" s="9"/>
      <c r="D405" s="9"/>
      <c r="E405" s="9"/>
      <c r="F405" s="9"/>
      <c r="G405" s="9"/>
    </row>
    <row r="406" customFormat="false" ht="15" hidden="false" customHeight="true" outlineLevel="0" collapsed="false">
      <c r="A406" s="8"/>
      <c r="B406" s="13"/>
      <c r="C406" s="9"/>
      <c r="D406" s="9"/>
      <c r="E406" s="9"/>
      <c r="F406" s="9"/>
      <c r="G406" s="9"/>
    </row>
    <row r="407" customFormat="false" ht="15" hidden="false" customHeight="true" outlineLevel="0" collapsed="false">
      <c r="A407" s="8"/>
      <c r="B407" s="13"/>
      <c r="C407" s="9"/>
      <c r="D407" s="9"/>
      <c r="E407" s="9"/>
      <c r="F407" s="9"/>
      <c r="G407" s="9"/>
    </row>
    <row r="408" customFormat="false" ht="15" hidden="false" customHeight="true" outlineLevel="0" collapsed="false">
      <c r="A408" s="8"/>
      <c r="B408" s="13"/>
      <c r="C408" s="9"/>
      <c r="D408" s="9"/>
      <c r="E408" s="9"/>
      <c r="F408" s="9"/>
      <c r="G408" s="9"/>
    </row>
    <row r="409" customFormat="false" ht="15" hidden="false" customHeight="true" outlineLevel="0" collapsed="false">
      <c r="A409" s="8"/>
      <c r="B409" s="13"/>
      <c r="C409" s="9"/>
      <c r="D409" s="9"/>
      <c r="E409" s="9"/>
      <c r="F409" s="9"/>
      <c r="G409" s="9"/>
    </row>
    <row r="410" customFormat="false" ht="15" hidden="false" customHeight="true" outlineLevel="0" collapsed="false">
      <c r="A410" s="8"/>
      <c r="B410" s="13"/>
      <c r="C410" s="9"/>
      <c r="D410" s="9"/>
      <c r="E410" s="9"/>
      <c r="F410" s="9"/>
      <c r="G410" s="9"/>
    </row>
    <row r="411" customFormat="false" ht="15" hidden="false" customHeight="true" outlineLevel="0" collapsed="false">
      <c r="A411" s="8"/>
      <c r="B411" s="13"/>
      <c r="C411" s="9"/>
      <c r="D411" s="9"/>
      <c r="E411" s="9"/>
      <c r="F411" s="9"/>
      <c r="G411" s="9"/>
    </row>
    <row r="412" customFormat="false" ht="15" hidden="false" customHeight="true" outlineLevel="0" collapsed="false">
      <c r="A412" s="8"/>
      <c r="B412" s="13"/>
      <c r="C412" s="9"/>
      <c r="D412" s="9"/>
      <c r="E412" s="9"/>
      <c r="F412" s="9"/>
      <c r="G412" s="9"/>
    </row>
    <row r="413" customFormat="false" ht="15" hidden="false" customHeight="true" outlineLevel="0" collapsed="false">
      <c r="A413" s="8"/>
      <c r="B413" s="13"/>
      <c r="C413" s="9"/>
      <c r="D413" s="9"/>
      <c r="E413" s="9"/>
      <c r="F413" s="9"/>
      <c r="G413" s="9"/>
    </row>
    <row r="414" customFormat="false" ht="15" hidden="false" customHeight="true" outlineLevel="0" collapsed="false">
      <c r="A414" s="8"/>
      <c r="B414" s="13"/>
      <c r="C414" s="9"/>
      <c r="D414" s="9"/>
      <c r="E414" s="9"/>
      <c r="F414" s="9"/>
      <c r="G414" s="9"/>
    </row>
    <row r="415" customFormat="false" ht="15" hidden="false" customHeight="true" outlineLevel="0" collapsed="false">
      <c r="A415" s="8"/>
      <c r="B415" s="13"/>
      <c r="C415" s="9"/>
      <c r="D415" s="9"/>
      <c r="E415" s="9"/>
      <c r="F415" s="9"/>
      <c r="G415" s="9"/>
    </row>
    <row r="416" customFormat="false" ht="15" hidden="false" customHeight="true" outlineLevel="0" collapsed="false">
      <c r="A416" s="8"/>
      <c r="B416" s="13"/>
      <c r="C416" s="9"/>
      <c r="D416" s="9"/>
      <c r="E416" s="9"/>
      <c r="F416" s="9"/>
      <c r="G416" s="9"/>
    </row>
    <row r="417" customFormat="false" ht="15" hidden="false" customHeight="true" outlineLevel="0" collapsed="false">
      <c r="A417" s="8"/>
      <c r="B417" s="13"/>
      <c r="C417" s="9"/>
      <c r="D417" s="9"/>
      <c r="E417" s="9"/>
      <c r="F417" s="9"/>
      <c r="G417" s="9"/>
    </row>
    <row r="418" customFormat="false" ht="15" hidden="false" customHeight="true" outlineLevel="0" collapsed="false">
      <c r="A418" s="8"/>
      <c r="B418" s="13"/>
      <c r="C418" s="9"/>
      <c r="D418" s="9"/>
      <c r="E418" s="9"/>
      <c r="F418" s="9"/>
      <c r="G418" s="9"/>
    </row>
    <row r="419" customFormat="false" ht="15" hidden="false" customHeight="true" outlineLevel="0" collapsed="false">
      <c r="A419" s="8"/>
      <c r="B419" s="13"/>
      <c r="C419" s="9"/>
      <c r="D419" s="9"/>
      <c r="E419" s="9"/>
      <c r="F419" s="9"/>
      <c r="G419" s="9"/>
    </row>
    <row r="420" customFormat="false" ht="15" hidden="false" customHeight="true" outlineLevel="0" collapsed="false">
      <c r="A420" s="8"/>
      <c r="B420" s="13"/>
      <c r="C420" s="9"/>
      <c r="D420" s="9"/>
      <c r="E420" s="9"/>
      <c r="F420" s="9"/>
      <c r="G420" s="9"/>
    </row>
    <row r="421" customFormat="false" ht="15" hidden="false" customHeight="true" outlineLevel="0" collapsed="false">
      <c r="A421" s="8"/>
      <c r="B421" s="13"/>
      <c r="C421" s="9"/>
      <c r="D421" s="9"/>
      <c r="E421" s="9"/>
      <c r="F421" s="9"/>
      <c r="G421" s="9"/>
    </row>
    <row r="422" customFormat="false" ht="15" hidden="false" customHeight="true" outlineLevel="0" collapsed="false">
      <c r="A422" s="8"/>
      <c r="B422" s="13"/>
      <c r="C422" s="9"/>
      <c r="D422" s="9"/>
      <c r="E422" s="9"/>
      <c r="F422" s="9"/>
      <c r="G422" s="9"/>
    </row>
    <row r="423" customFormat="false" ht="15" hidden="false" customHeight="true" outlineLevel="0" collapsed="false">
      <c r="A423" s="8"/>
      <c r="B423" s="13"/>
      <c r="C423" s="9"/>
      <c r="D423" s="9"/>
      <c r="E423" s="9"/>
      <c r="F423" s="9"/>
      <c r="G423" s="9"/>
    </row>
    <row r="424" customFormat="false" ht="15" hidden="false" customHeight="true" outlineLevel="0" collapsed="false">
      <c r="A424" s="8"/>
      <c r="B424" s="13"/>
      <c r="C424" s="9"/>
      <c r="D424" s="9"/>
      <c r="E424" s="9"/>
      <c r="F424" s="9"/>
      <c r="G424" s="9"/>
    </row>
    <row r="425" customFormat="false" ht="15" hidden="false" customHeight="true" outlineLevel="0" collapsed="false">
      <c r="A425" s="8"/>
      <c r="B425" s="13"/>
      <c r="C425" s="9"/>
      <c r="D425" s="9"/>
      <c r="E425" s="9"/>
      <c r="F425" s="9"/>
      <c r="G425" s="9"/>
    </row>
    <row r="426" customFormat="false" ht="15" hidden="false" customHeight="true" outlineLevel="0" collapsed="false">
      <c r="A426" s="8"/>
      <c r="B426" s="13"/>
      <c r="C426" s="9"/>
      <c r="D426" s="9"/>
      <c r="E426" s="9"/>
      <c r="F426" s="9"/>
      <c r="G426" s="9"/>
    </row>
    <row r="427" customFormat="false" ht="15" hidden="false" customHeight="true" outlineLevel="0" collapsed="false">
      <c r="A427" s="8"/>
      <c r="B427" s="13"/>
      <c r="C427" s="9"/>
      <c r="D427" s="9"/>
      <c r="E427" s="9"/>
      <c r="F427" s="9"/>
      <c r="G427" s="9"/>
    </row>
    <row r="428" customFormat="false" ht="15" hidden="false" customHeight="true" outlineLevel="0" collapsed="false">
      <c r="A428" s="8"/>
      <c r="B428" s="13"/>
      <c r="C428" s="9"/>
      <c r="D428" s="9"/>
      <c r="E428" s="9"/>
      <c r="F428" s="9"/>
      <c r="G428" s="9"/>
    </row>
    <row r="429" customFormat="false" ht="15" hidden="false" customHeight="true" outlineLevel="0" collapsed="false">
      <c r="A429" s="8"/>
      <c r="B429" s="13"/>
      <c r="C429" s="9"/>
      <c r="D429" s="9"/>
      <c r="E429" s="9"/>
      <c r="F429" s="9"/>
      <c r="G429" s="9"/>
    </row>
    <row r="430" customFormat="false" ht="15" hidden="false" customHeight="true" outlineLevel="0" collapsed="false">
      <c r="A430" s="8"/>
      <c r="B430" s="13"/>
      <c r="C430" s="9"/>
      <c r="D430" s="9"/>
      <c r="E430" s="9"/>
      <c r="F430" s="9"/>
      <c r="G430" s="9"/>
    </row>
    <row r="431" customFormat="false" ht="15" hidden="false" customHeight="true" outlineLevel="0" collapsed="false">
      <c r="A431" s="8"/>
      <c r="B431" s="13"/>
      <c r="C431" s="9"/>
      <c r="D431" s="9"/>
      <c r="E431" s="9"/>
      <c r="F431" s="9"/>
      <c r="G431" s="9"/>
    </row>
    <row r="432" customFormat="false" ht="15" hidden="false" customHeight="true" outlineLevel="0" collapsed="false">
      <c r="A432" s="8"/>
      <c r="B432" s="13"/>
      <c r="C432" s="9"/>
      <c r="D432" s="9"/>
      <c r="E432" s="9"/>
      <c r="F432" s="9"/>
      <c r="G432" s="9"/>
    </row>
    <row r="433" customFormat="false" ht="15" hidden="false" customHeight="true" outlineLevel="0" collapsed="false">
      <c r="A433" s="8"/>
      <c r="B433" s="13"/>
      <c r="C433" s="9"/>
      <c r="D433" s="9"/>
      <c r="E433" s="9"/>
      <c r="F433" s="9"/>
      <c r="G433" s="9"/>
    </row>
    <row r="434" customFormat="false" ht="15" hidden="false" customHeight="true" outlineLevel="0" collapsed="false">
      <c r="A434" s="8"/>
      <c r="B434" s="13"/>
      <c r="C434" s="9"/>
      <c r="D434" s="9"/>
      <c r="E434" s="9"/>
      <c r="F434" s="9"/>
      <c r="G434" s="9"/>
    </row>
    <row r="435" customFormat="false" ht="15" hidden="false" customHeight="true" outlineLevel="0" collapsed="false">
      <c r="A435" s="8"/>
      <c r="B435" s="13"/>
      <c r="C435" s="9"/>
      <c r="D435" s="9"/>
      <c r="E435" s="9"/>
      <c r="F435" s="9"/>
      <c r="G435" s="9"/>
    </row>
    <row r="436" customFormat="false" ht="15" hidden="false" customHeight="true" outlineLevel="0" collapsed="false">
      <c r="A436" s="8"/>
      <c r="B436" s="13"/>
      <c r="C436" s="9"/>
      <c r="D436" s="9"/>
      <c r="E436" s="9"/>
      <c r="F436" s="9"/>
      <c r="G436" s="9"/>
    </row>
    <row r="437" customFormat="false" ht="15" hidden="false" customHeight="true" outlineLevel="0" collapsed="false">
      <c r="A437" s="8"/>
      <c r="B437" s="13"/>
      <c r="C437" s="9"/>
      <c r="D437" s="9"/>
      <c r="E437" s="9"/>
      <c r="F437" s="9"/>
      <c r="G437" s="9"/>
    </row>
    <row r="438" customFormat="false" ht="15" hidden="false" customHeight="true" outlineLevel="0" collapsed="false">
      <c r="A438" s="8"/>
      <c r="B438" s="13"/>
      <c r="C438" s="9"/>
      <c r="D438" s="9"/>
      <c r="E438" s="9"/>
      <c r="F438" s="9"/>
      <c r="G438" s="9"/>
    </row>
    <row r="439" customFormat="false" ht="15" hidden="false" customHeight="true" outlineLevel="0" collapsed="false">
      <c r="A439" s="8"/>
      <c r="B439" s="13"/>
      <c r="C439" s="9"/>
      <c r="D439" s="9"/>
      <c r="E439" s="9"/>
      <c r="F439" s="9"/>
      <c r="G439" s="9"/>
    </row>
    <row r="440" customFormat="false" ht="15" hidden="false" customHeight="true" outlineLevel="0" collapsed="false">
      <c r="A440" s="8"/>
      <c r="B440" s="13"/>
      <c r="C440" s="9"/>
      <c r="D440" s="9"/>
      <c r="E440" s="9"/>
      <c r="F440" s="9"/>
      <c r="G440" s="9"/>
    </row>
    <row r="441" customFormat="false" ht="15" hidden="false" customHeight="true" outlineLevel="0" collapsed="false">
      <c r="A441" s="8"/>
      <c r="B441" s="13"/>
      <c r="C441" s="9"/>
      <c r="D441" s="9"/>
      <c r="E441" s="9"/>
      <c r="F441" s="9"/>
      <c r="G441" s="9"/>
    </row>
    <row r="442" customFormat="false" ht="15" hidden="false" customHeight="true" outlineLevel="0" collapsed="false">
      <c r="A442" s="8"/>
      <c r="B442" s="13"/>
      <c r="C442" s="9"/>
      <c r="D442" s="9"/>
      <c r="E442" s="9"/>
      <c r="F442" s="9"/>
      <c r="G442" s="9"/>
    </row>
    <row r="443" customFormat="false" ht="15" hidden="false" customHeight="true" outlineLevel="0" collapsed="false">
      <c r="A443" s="8"/>
      <c r="B443" s="13"/>
      <c r="C443" s="9"/>
      <c r="D443" s="9"/>
      <c r="E443" s="9"/>
      <c r="F443" s="9"/>
      <c r="G443" s="9"/>
    </row>
    <row r="444" customFormat="false" ht="15" hidden="false" customHeight="true" outlineLevel="0" collapsed="false">
      <c r="A444" s="8"/>
      <c r="B444" s="13"/>
      <c r="C444" s="9"/>
      <c r="D444" s="9"/>
      <c r="E444" s="9"/>
      <c r="F444" s="9"/>
      <c r="G444" s="9"/>
    </row>
    <row r="445" customFormat="false" ht="15" hidden="false" customHeight="true" outlineLevel="0" collapsed="false">
      <c r="A445" s="8"/>
      <c r="B445" s="13"/>
      <c r="C445" s="9"/>
      <c r="D445" s="9"/>
      <c r="E445" s="9"/>
      <c r="F445" s="9"/>
      <c r="G445" s="9"/>
    </row>
    <row r="446" customFormat="false" ht="15" hidden="false" customHeight="true" outlineLevel="0" collapsed="false">
      <c r="A446" s="8"/>
      <c r="B446" s="13"/>
      <c r="C446" s="9"/>
      <c r="D446" s="9"/>
      <c r="E446" s="9"/>
      <c r="F446" s="9"/>
      <c r="G446" s="9"/>
    </row>
    <row r="447" customFormat="false" ht="15" hidden="false" customHeight="true" outlineLevel="0" collapsed="false">
      <c r="A447" s="8"/>
      <c r="B447" s="13"/>
      <c r="C447" s="9"/>
      <c r="D447" s="9"/>
      <c r="E447" s="9"/>
      <c r="F447" s="9"/>
      <c r="G447" s="9"/>
    </row>
    <row r="448" customFormat="false" ht="15" hidden="false" customHeight="true" outlineLevel="0" collapsed="false">
      <c r="A448" s="8"/>
      <c r="B448" s="13"/>
      <c r="C448" s="9"/>
      <c r="D448" s="9"/>
      <c r="E448" s="9"/>
      <c r="F448" s="9"/>
      <c r="G448" s="9"/>
    </row>
    <row r="449" customFormat="false" ht="15" hidden="false" customHeight="true" outlineLevel="0" collapsed="false">
      <c r="A449" s="8"/>
      <c r="B449" s="13"/>
      <c r="C449" s="9"/>
      <c r="D449" s="9"/>
      <c r="E449" s="9"/>
      <c r="F449" s="9"/>
      <c r="G449" s="9"/>
    </row>
    <row r="450" customFormat="false" ht="15" hidden="false" customHeight="true" outlineLevel="0" collapsed="false">
      <c r="A450" s="8"/>
      <c r="B450" s="13"/>
      <c r="C450" s="9"/>
      <c r="D450" s="9"/>
      <c r="E450" s="9"/>
      <c r="F450" s="9"/>
      <c r="G450" s="9"/>
    </row>
    <row r="451" customFormat="false" ht="15" hidden="false" customHeight="true" outlineLevel="0" collapsed="false">
      <c r="A451" s="8"/>
      <c r="B451" s="13"/>
      <c r="C451" s="9"/>
      <c r="D451" s="9"/>
      <c r="E451" s="9"/>
      <c r="F451" s="9"/>
      <c r="G451" s="9"/>
    </row>
    <row r="452" customFormat="false" ht="15" hidden="false" customHeight="true" outlineLevel="0" collapsed="false">
      <c r="A452" s="8"/>
      <c r="B452" s="13"/>
      <c r="C452" s="9"/>
      <c r="D452" s="9"/>
      <c r="E452" s="9"/>
      <c r="F452" s="9"/>
      <c r="G452" s="9"/>
    </row>
    <row r="453" customFormat="false" ht="15" hidden="false" customHeight="true" outlineLevel="0" collapsed="false">
      <c r="A453" s="8"/>
      <c r="B453" s="13"/>
      <c r="C453" s="9"/>
      <c r="D453" s="9"/>
      <c r="E453" s="9"/>
      <c r="F453" s="9"/>
      <c r="G453" s="9"/>
    </row>
    <row r="454" customFormat="false" ht="15" hidden="false" customHeight="true" outlineLevel="0" collapsed="false">
      <c r="A454" s="8"/>
      <c r="B454" s="13"/>
      <c r="C454" s="9"/>
      <c r="D454" s="9"/>
      <c r="E454" s="9"/>
      <c r="F454" s="9"/>
      <c r="G454" s="9"/>
    </row>
    <row r="455" customFormat="false" ht="15" hidden="false" customHeight="true" outlineLevel="0" collapsed="false">
      <c r="A455" s="8"/>
      <c r="B455" s="13"/>
      <c r="C455" s="9"/>
      <c r="D455" s="9"/>
      <c r="E455" s="9"/>
      <c r="F455" s="9"/>
      <c r="G455" s="9"/>
    </row>
    <row r="456" customFormat="false" ht="15" hidden="false" customHeight="true" outlineLevel="0" collapsed="false">
      <c r="A456" s="8"/>
      <c r="B456" s="13"/>
      <c r="C456" s="9"/>
      <c r="D456" s="9"/>
      <c r="E456" s="9"/>
      <c r="F456" s="9"/>
      <c r="G456" s="9"/>
    </row>
    <row r="457" customFormat="false" ht="15" hidden="false" customHeight="true" outlineLevel="0" collapsed="false">
      <c r="A457" s="8"/>
      <c r="B457" s="13"/>
      <c r="C457" s="9"/>
      <c r="D457" s="9"/>
      <c r="E457" s="9"/>
      <c r="F457" s="9"/>
      <c r="G457" s="9"/>
    </row>
    <row r="458" customFormat="false" ht="15" hidden="false" customHeight="true" outlineLevel="0" collapsed="false">
      <c r="A458" s="8"/>
      <c r="B458" s="13"/>
      <c r="C458" s="9"/>
      <c r="D458" s="9"/>
      <c r="E458" s="9"/>
      <c r="F458" s="9"/>
      <c r="G458" s="9"/>
    </row>
    <row r="459" customFormat="false" ht="15" hidden="false" customHeight="true" outlineLevel="0" collapsed="false">
      <c r="A459" s="8"/>
      <c r="B459" s="13"/>
      <c r="C459" s="9"/>
      <c r="D459" s="9"/>
      <c r="E459" s="9"/>
      <c r="F459" s="9"/>
      <c r="G459" s="9"/>
    </row>
    <row r="460" customFormat="false" ht="15" hidden="false" customHeight="true" outlineLevel="0" collapsed="false">
      <c r="A460" s="8"/>
      <c r="B460" s="13"/>
      <c r="C460" s="9"/>
      <c r="D460" s="9"/>
      <c r="E460" s="9"/>
      <c r="F460" s="9"/>
      <c r="G460" s="9"/>
    </row>
    <row r="461" customFormat="false" ht="15" hidden="false" customHeight="true" outlineLevel="0" collapsed="false">
      <c r="A461" s="8"/>
      <c r="B461" s="13"/>
      <c r="C461" s="9"/>
      <c r="D461" s="9"/>
      <c r="E461" s="9"/>
      <c r="F461" s="9"/>
      <c r="G461" s="9"/>
    </row>
    <row r="462" customFormat="false" ht="15" hidden="false" customHeight="true" outlineLevel="0" collapsed="false">
      <c r="A462" s="8"/>
      <c r="B462" s="13"/>
      <c r="C462" s="9"/>
      <c r="D462" s="9"/>
      <c r="E462" s="9"/>
      <c r="F462" s="9"/>
      <c r="G462" s="9"/>
    </row>
    <row r="463" customFormat="false" ht="15" hidden="false" customHeight="true" outlineLevel="0" collapsed="false">
      <c r="A463" s="8"/>
      <c r="B463" s="13"/>
      <c r="C463" s="9"/>
      <c r="D463" s="9"/>
      <c r="E463" s="9"/>
      <c r="F463" s="9"/>
      <c r="G463" s="9"/>
    </row>
    <row r="464" customFormat="false" ht="15" hidden="false" customHeight="true" outlineLevel="0" collapsed="false">
      <c r="A464" s="8"/>
      <c r="B464" s="13"/>
      <c r="C464" s="9"/>
      <c r="D464" s="9"/>
      <c r="E464" s="9"/>
      <c r="F464" s="9"/>
      <c r="G464" s="9"/>
    </row>
    <row r="465" customFormat="false" ht="15" hidden="false" customHeight="true" outlineLevel="0" collapsed="false">
      <c r="A465" s="8"/>
      <c r="B465" s="13"/>
      <c r="C465" s="9"/>
      <c r="D465" s="9"/>
      <c r="E465" s="9"/>
      <c r="F465" s="9"/>
      <c r="G465" s="9"/>
    </row>
    <row r="466" customFormat="false" ht="15" hidden="false" customHeight="true" outlineLevel="0" collapsed="false">
      <c r="A466" s="8"/>
      <c r="B466" s="13"/>
      <c r="C466" s="9"/>
      <c r="D466" s="9"/>
      <c r="E466" s="9"/>
      <c r="F466" s="9"/>
      <c r="G466" s="9"/>
    </row>
    <row r="467" customFormat="false" ht="15" hidden="false" customHeight="true" outlineLevel="0" collapsed="false">
      <c r="A467" s="8"/>
      <c r="B467" s="13"/>
      <c r="C467" s="9"/>
      <c r="D467" s="9"/>
      <c r="E467" s="9"/>
      <c r="F467" s="9"/>
      <c r="G467" s="9"/>
    </row>
    <row r="468" customFormat="false" ht="15" hidden="false" customHeight="true" outlineLevel="0" collapsed="false">
      <c r="A468" s="8"/>
      <c r="B468" s="13"/>
      <c r="C468" s="9"/>
      <c r="D468" s="9"/>
      <c r="E468" s="9"/>
      <c r="F468" s="9"/>
      <c r="G468" s="9"/>
    </row>
    <row r="469" customFormat="false" ht="15" hidden="false" customHeight="true" outlineLevel="0" collapsed="false">
      <c r="A469" s="8"/>
      <c r="B469" s="13"/>
      <c r="C469" s="9"/>
      <c r="D469" s="9"/>
      <c r="E469" s="9"/>
      <c r="F469" s="9"/>
      <c r="G469" s="9"/>
    </row>
    <row r="470" customFormat="false" ht="15" hidden="false" customHeight="true" outlineLevel="0" collapsed="false">
      <c r="A470" s="8"/>
      <c r="B470" s="13"/>
      <c r="C470" s="9"/>
      <c r="D470" s="9"/>
      <c r="E470" s="9"/>
      <c r="F470" s="9"/>
      <c r="G470" s="9"/>
    </row>
    <row r="471" customFormat="false" ht="15" hidden="false" customHeight="true" outlineLevel="0" collapsed="false">
      <c r="A471" s="8"/>
      <c r="B471" s="13"/>
      <c r="C471" s="9"/>
      <c r="D471" s="9"/>
      <c r="E471" s="9"/>
      <c r="F471" s="9"/>
      <c r="G471" s="9"/>
    </row>
    <row r="472" customFormat="false" ht="15" hidden="false" customHeight="true" outlineLevel="0" collapsed="false">
      <c r="A472" s="8"/>
      <c r="B472" s="13"/>
      <c r="C472" s="9"/>
      <c r="D472" s="9"/>
      <c r="E472" s="9"/>
      <c r="F472" s="9"/>
      <c r="G472" s="9"/>
    </row>
    <row r="473" customFormat="false" ht="15" hidden="false" customHeight="true" outlineLevel="0" collapsed="false">
      <c r="A473" s="8"/>
      <c r="B473" s="13"/>
      <c r="C473" s="9"/>
      <c r="D473" s="9"/>
      <c r="E473" s="9"/>
      <c r="F473" s="9"/>
      <c r="G473" s="9"/>
    </row>
    <row r="474" customFormat="false" ht="15" hidden="false" customHeight="true" outlineLevel="0" collapsed="false">
      <c r="A474" s="8"/>
      <c r="B474" s="13"/>
      <c r="C474" s="9"/>
      <c r="D474" s="9"/>
      <c r="E474" s="9"/>
      <c r="F474" s="9"/>
      <c r="G474" s="9"/>
    </row>
    <row r="475" customFormat="false" ht="15" hidden="false" customHeight="true" outlineLevel="0" collapsed="false">
      <c r="A475" s="8"/>
      <c r="B475" s="13"/>
      <c r="C475" s="9"/>
      <c r="D475" s="9"/>
      <c r="E475" s="9"/>
      <c r="F475" s="9"/>
      <c r="G475" s="9"/>
    </row>
    <row r="476" customFormat="false" ht="15" hidden="false" customHeight="true" outlineLevel="0" collapsed="false">
      <c r="A476" s="8"/>
      <c r="B476" s="13"/>
      <c r="C476" s="9"/>
      <c r="D476" s="9"/>
      <c r="E476" s="9"/>
      <c r="F476" s="9"/>
      <c r="G476" s="9"/>
    </row>
    <row r="477" customFormat="false" ht="15" hidden="false" customHeight="true" outlineLevel="0" collapsed="false">
      <c r="A477" s="8"/>
      <c r="B477" s="13"/>
      <c r="C477" s="9"/>
      <c r="D477" s="9"/>
      <c r="E477" s="9"/>
      <c r="F477" s="9"/>
      <c r="G477" s="9"/>
    </row>
    <row r="478" customFormat="false" ht="15" hidden="false" customHeight="true" outlineLevel="0" collapsed="false">
      <c r="A478" s="8"/>
      <c r="B478" s="13"/>
      <c r="C478" s="9"/>
      <c r="D478" s="9"/>
      <c r="E478" s="9"/>
      <c r="F478" s="9"/>
      <c r="G478" s="9"/>
    </row>
    <row r="479" customFormat="false" ht="15" hidden="false" customHeight="true" outlineLevel="0" collapsed="false">
      <c r="A479" s="8"/>
      <c r="B479" s="13"/>
      <c r="C479" s="9"/>
      <c r="D479" s="9"/>
      <c r="E479" s="9"/>
      <c r="F479" s="9"/>
      <c r="G479" s="9"/>
    </row>
    <row r="480" customFormat="false" ht="15" hidden="false" customHeight="true" outlineLevel="0" collapsed="false">
      <c r="A480" s="8"/>
      <c r="B480" s="13"/>
      <c r="C480" s="9"/>
      <c r="D480" s="9"/>
      <c r="E480" s="9"/>
      <c r="F480" s="9"/>
      <c r="G480" s="9"/>
    </row>
    <row r="481" customFormat="false" ht="15" hidden="false" customHeight="true" outlineLevel="0" collapsed="false">
      <c r="A481" s="8"/>
      <c r="B481" s="13"/>
      <c r="C481" s="9"/>
      <c r="D481" s="9"/>
      <c r="E481" s="9"/>
      <c r="F481" s="9"/>
      <c r="G481" s="9"/>
    </row>
    <row r="482" customFormat="false" ht="15" hidden="false" customHeight="true" outlineLevel="0" collapsed="false">
      <c r="A482" s="8"/>
      <c r="B482" s="13"/>
      <c r="C482" s="9"/>
      <c r="D482" s="9"/>
      <c r="E482" s="9"/>
      <c r="F482" s="9"/>
      <c r="G482" s="9"/>
    </row>
    <row r="483" customFormat="false" ht="15" hidden="false" customHeight="true" outlineLevel="0" collapsed="false">
      <c r="A483" s="8"/>
      <c r="B483" s="13"/>
      <c r="C483" s="9"/>
      <c r="D483" s="9"/>
      <c r="E483" s="9"/>
      <c r="F483" s="9"/>
      <c r="G483" s="9"/>
    </row>
    <row r="484" customFormat="false" ht="15" hidden="false" customHeight="true" outlineLevel="0" collapsed="false">
      <c r="A484" s="8"/>
      <c r="B484" s="13"/>
      <c r="C484" s="9"/>
      <c r="D484" s="9"/>
      <c r="E484" s="9"/>
      <c r="F484" s="9"/>
      <c r="G484" s="9"/>
    </row>
    <row r="485" customFormat="false" ht="15" hidden="false" customHeight="true" outlineLevel="0" collapsed="false">
      <c r="A485" s="8"/>
      <c r="B485" s="13"/>
      <c r="C485" s="9"/>
      <c r="D485" s="9"/>
      <c r="E485" s="9"/>
      <c r="F485" s="9"/>
      <c r="G485" s="9"/>
    </row>
    <row r="486" customFormat="false" ht="15" hidden="false" customHeight="true" outlineLevel="0" collapsed="false">
      <c r="A486" s="8"/>
      <c r="B486" s="13"/>
      <c r="C486" s="9"/>
      <c r="D486" s="9"/>
      <c r="E486" s="9"/>
      <c r="F486" s="9"/>
      <c r="G486" s="9"/>
    </row>
    <row r="487" customFormat="false" ht="15" hidden="false" customHeight="true" outlineLevel="0" collapsed="false">
      <c r="A487" s="8"/>
      <c r="B487" s="13"/>
      <c r="C487" s="9"/>
      <c r="D487" s="9"/>
      <c r="E487" s="9"/>
      <c r="F487" s="9"/>
      <c r="G487" s="9"/>
    </row>
    <row r="488" customFormat="false" ht="15" hidden="false" customHeight="true" outlineLevel="0" collapsed="false">
      <c r="A488" s="8"/>
      <c r="B488" s="13"/>
      <c r="C488" s="9"/>
      <c r="D488" s="9"/>
      <c r="E488" s="9"/>
      <c r="F488" s="9"/>
      <c r="G488" s="9"/>
    </row>
    <row r="489" customFormat="false" ht="15" hidden="false" customHeight="true" outlineLevel="0" collapsed="false">
      <c r="A489" s="8"/>
      <c r="B489" s="13"/>
      <c r="C489" s="9"/>
      <c r="D489" s="9"/>
      <c r="E489" s="9"/>
      <c r="F489" s="9"/>
      <c r="G489" s="9"/>
    </row>
    <row r="490" customFormat="false" ht="15" hidden="false" customHeight="true" outlineLevel="0" collapsed="false">
      <c r="A490" s="8"/>
      <c r="B490" s="13"/>
      <c r="C490" s="9"/>
      <c r="D490" s="9"/>
      <c r="E490" s="9"/>
      <c r="F490" s="9"/>
      <c r="G490" s="9"/>
    </row>
    <row r="491" customFormat="false" ht="15" hidden="false" customHeight="true" outlineLevel="0" collapsed="false">
      <c r="A491" s="8"/>
      <c r="B491" s="13"/>
      <c r="C491" s="9"/>
      <c r="D491" s="9"/>
      <c r="E491" s="9"/>
      <c r="F491" s="9"/>
      <c r="G491" s="9"/>
    </row>
    <row r="492" customFormat="false" ht="15" hidden="false" customHeight="true" outlineLevel="0" collapsed="false">
      <c r="A492" s="8"/>
      <c r="B492" s="13"/>
      <c r="C492" s="9"/>
      <c r="D492" s="9"/>
      <c r="E492" s="9"/>
      <c r="F492" s="9"/>
      <c r="G492" s="9"/>
    </row>
    <row r="493" customFormat="false" ht="15" hidden="false" customHeight="true" outlineLevel="0" collapsed="false">
      <c r="A493" s="8"/>
      <c r="B493" s="13"/>
      <c r="C493" s="9"/>
      <c r="D493" s="9"/>
      <c r="E493" s="9"/>
      <c r="F493" s="9"/>
      <c r="G493" s="9"/>
    </row>
    <row r="494" customFormat="false" ht="15" hidden="false" customHeight="true" outlineLevel="0" collapsed="false">
      <c r="A494" s="8"/>
      <c r="B494" s="13"/>
      <c r="C494" s="9"/>
      <c r="D494" s="9"/>
      <c r="E494" s="9"/>
      <c r="F494" s="9"/>
      <c r="G494" s="9"/>
    </row>
    <row r="495" customFormat="false" ht="15" hidden="false" customHeight="true" outlineLevel="0" collapsed="false">
      <c r="A495" s="8"/>
      <c r="B495" s="13"/>
      <c r="C495" s="9"/>
      <c r="D495" s="9"/>
      <c r="E495" s="9"/>
      <c r="F495" s="9"/>
      <c r="G495" s="9"/>
    </row>
    <row r="496" customFormat="false" ht="15" hidden="false" customHeight="true" outlineLevel="0" collapsed="false">
      <c r="A496" s="8"/>
      <c r="B496" s="13"/>
      <c r="C496" s="9"/>
      <c r="D496" s="9"/>
      <c r="E496" s="9"/>
      <c r="F496" s="9"/>
      <c r="G496" s="9"/>
    </row>
    <row r="497" customFormat="false" ht="15" hidden="false" customHeight="true" outlineLevel="0" collapsed="false">
      <c r="A497" s="8"/>
      <c r="B497" s="13"/>
      <c r="C497" s="9"/>
      <c r="D497" s="9"/>
      <c r="E497" s="9"/>
      <c r="F497" s="9"/>
      <c r="G497" s="9"/>
    </row>
    <row r="498" customFormat="false" ht="15" hidden="false" customHeight="true" outlineLevel="0" collapsed="false">
      <c r="A498" s="8"/>
      <c r="B498" s="13"/>
      <c r="C498" s="9"/>
      <c r="D498" s="9"/>
      <c r="E498" s="9"/>
      <c r="F498" s="9"/>
      <c r="G498" s="9"/>
    </row>
    <row r="499" customFormat="false" ht="15" hidden="false" customHeight="true" outlineLevel="0" collapsed="false">
      <c r="A499" s="8"/>
      <c r="B499" s="13"/>
      <c r="C499" s="9"/>
      <c r="D499" s="9"/>
      <c r="E499" s="9"/>
      <c r="F499" s="9"/>
      <c r="G499" s="9"/>
    </row>
    <row r="500" customFormat="false" ht="15" hidden="false" customHeight="true" outlineLevel="0" collapsed="false">
      <c r="A500" s="8"/>
      <c r="B500" s="13"/>
      <c r="C500" s="9"/>
      <c r="D500" s="9"/>
      <c r="E500" s="9"/>
      <c r="F500" s="9"/>
      <c r="G500" s="9"/>
    </row>
    <row r="501" customFormat="false" ht="15" hidden="false" customHeight="true" outlineLevel="0" collapsed="false">
      <c r="A501" s="8"/>
      <c r="B501" s="13"/>
      <c r="C501" s="9"/>
      <c r="D501" s="9"/>
      <c r="E501" s="9"/>
      <c r="F501" s="9"/>
      <c r="G501" s="9"/>
    </row>
    <row r="502" customFormat="false" ht="15" hidden="false" customHeight="true" outlineLevel="0" collapsed="false">
      <c r="A502" s="8"/>
      <c r="B502" s="13"/>
      <c r="C502" s="9"/>
      <c r="D502" s="9"/>
      <c r="E502" s="9"/>
      <c r="F502" s="9"/>
      <c r="G502" s="9"/>
    </row>
    <row r="503" customFormat="false" ht="15" hidden="false" customHeight="true" outlineLevel="0" collapsed="false">
      <c r="A503" s="8"/>
      <c r="B503" s="13"/>
      <c r="C503" s="9"/>
      <c r="D503" s="9"/>
      <c r="E503" s="9"/>
      <c r="F503" s="9"/>
      <c r="G503" s="9"/>
    </row>
  </sheetData>
  <mergeCells count="1">
    <mergeCell ref="A1:G1"/>
  </mergeCells>
  <dataValidations count="5">
    <dataValidation allowBlank="true" error="اكتب تاريخ زي 2026-10-20" errorStyle="stop" operator="greaterThan" showDropDown="false" showErrorMessage="true" showInputMessage="false" sqref="A4:A503" type="date">
      <formula1>44927</formula1>
      <formula2>0</formula2>
    </dataValidation>
    <dataValidation allowBlank="true" error="اكتب رقم بس" errorStyle="stop" operator="between" showDropDown="false" showErrorMessage="true" showInputMessage="false" sqref="E4:E503" type="decimal">
      <formula1>0</formula1>
      <formula2>100000</formula2>
    </dataValidation>
    <dataValidation allowBlank="true" error="اختار من القائمة اللي بتنزل" errorStyle="stop" errorTitle="اختيار من القائمة" operator="between" showDropDown="false" showErrorMessage="true" showInputMessage="false" sqref="C4:C503" type="list">
      <formula1>القوائم!$I$2:$I$8</formula1>
      <formula2>0</formula2>
    </dataValidation>
    <dataValidation allowBlank="true" error="اختار من القائمة اللي بتنزل" errorStyle="stop" errorTitle="اختيار من القائمة" operator="between" showDropDown="false" showErrorMessage="true" showInputMessage="false" sqref="D4:D503" type="list">
      <formula1>القوائم!$J$2:$J$6</formula1>
      <formula2>0</formula2>
    </dataValidation>
    <dataValidation allowBlank="true" error="اختار من القائمة اللي بتنزل" errorStyle="stop" errorTitle="اختيار من القائمة" operator="between" showDropDown="false" showErrorMessage="true" showInputMessage="false" sqref="F4:F503" type="list">
      <formula1>القوائم!$C$2:$C$3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"/>
    <col collapsed="false" customWidth="true" hidden="false" outlineLevel="0" max="3" min="3" style="1" width="11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6" min="6" style="1" width="24"/>
    <col collapsed="false" customWidth="true" hidden="false" outlineLevel="0" max="7" min="7" style="1" width="30"/>
  </cols>
  <sheetData>
    <row r="1" customFormat="false" ht="15" hidden="false" customHeight="true" outlineLevel="0" collapsed="false">
      <c r="A1" s="4" t="s">
        <v>113</v>
      </c>
      <c r="B1" s="4"/>
      <c r="C1" s="4"/>
      <c r="D1" s="4"/>
      <c r="E1" s="4"/>
      <c r="F1" s="4"/>
      <c r="G1" s="4"/>
    </row>
    <row r="2" customFormat="false" ht="33.75" hidden="false" customHeight="true" outlineLevel="0" collapsed="false">
      <c r="A2" s="5" t="s">
        <v>72</v>
      </c>
      <c r="B2" s="5" t="s">
        <v>114</v>
      </c>
      <c r="C2" s="5" t="s">
        <v>21</v>
      </c>
      <c r="D2" s="5" t="s">
        <v>115</v>
      </c>
      <c r="E2" s="5" t="s">
        <v>116</v>
      </c>
      <c r="F2" s="5" t="s">
        <v>117</v>
      </c>
      <c r="G2" s="5" t="s">
        <v>107</v>
      </c>
    </row>
    <row r="3" customFormat="false" ht="15" hidden="false" customHeight="true" outlineLevel="0" collapsed="false">
      <c r="A3" s="6" t="n">
        <v>46320</v>
      </c>
      <c r="B3" s="7" t="s">
        <v>118</v>
      </c>
      <c r="C3" s="7" t="s">
        <v>42</v>
      </c>
      <c r="D3" s="6" t="n">
        <v>46315</v>
      </c>
      <c r="E3" s="7" t="s">
        <v>119</v>
      </c>
      <c r="F3" s="7" t="s">
        <v>120</v>
      </c>
      <c r="G3" s="7" t="s">
        <v>121</v>
      </c>
    </row>
    <row r="4" customFormat="false" ht="15" hidden="false" customHeight="true" outlineLevel="0" collapsed="false">
      <c r="A4" s="8" t="n">
        <v>46303</v>
      </c>
      <c r="B4" s="9" t="s">
        <v>62</v>
      </c>
      <c r="C4" s="9" t="s">
        <v>49</v>
      </c>
      <c r="D4" s="8"/>
      <c r="E4" s="9" t="s">
        <v>122</v>
      </c>
      <c r="F4" s="9"/>
      <c r="G4" s="9" t="s">
        <v>123</v>
      </c>
    </row>
    <row r="5" customFormat="false" ht="15" hidden="false" customHeight="true" outlineLevel="0" collapsed="false">
      <c r="A5" s="8" t="n">
        <v>46305</v>
      </c>
      <c r="B5" s="9" t="s">
        <v>47</v>
      </c>
      <c r="C5" s="9" t="s">
        <v>33</v>
      </c>
      <c r="D5" s="8" t="n">
        <v>46300</v>
      </c>
      <c r="E5" s="9" t="s">
        <v>119</v>
      </c>
      <c r="F5" s="9" t="s">
        <v>124</v>
      </c>
      <c r="G5" s="9" t="s">
        <v>125</v>
      </c>
    </row>
    <row r="6" customFormat="false" ht="15" hidden="false" customHeight="true" outlineLevel="0" collapsed="false">
      <c r="A6" s="8" t="n">
        <v>46310</v>
      </c>
      <c r="B6" s="9" t="s">
        <v>126</v>
      </c>
      <c r="C6" s="9" t="s">
        <v>42</v>
      </c>
      <c r="D6" s="8" t="n">
        <v>46302</v>
      </c>
      <c r="E6" s="9" t="s">
        <v>127</v>
      </c>
      <c r="F6" s="9" t="s">
        <v>128</v>
      </c>
      <c r="G6" s="9" t="s">
        <v>129</v>
      </c>
    </row>
    <row r="7" customFormat="false" ht="15" hidden="false" customHeight="true" outlineLevel="0" collapsed="false">
      <c r="A7" s="8" t="n">
        <v>46311</v>
      </c>
      <c r="B7" s="9" t="s">
        <v>46</v>
      </c>
      <c r="C7" s="9" t="s">
        <v>42</v>
      </c>
      <c r="D7" s="8" t="n">
        <v>46306</v>
      </c>
      <c r="E7" s="9" t="s">
        <v>119</v>
      </c>
      <c r="F7" s="9" t="s">
        <v>124</v>
      </c>
      <c r="G7" s="9" t="s">
        <v>125</v>
      </c>
    </row>
    <row r="8" customFormat="false" ht="15" hidden="false" customHeight="true" outlineLevel="0" collapsed="false">
      <c r="A8" s="8"/>
      <c r="B8" s="9"/>
      <c r="C8" s="9"/>
      <c r="D8" s="8"/>
      <c r="E8" s="9"/>
      <c r="F8" s="9"/>
      <c r="G8" s="9"/>
    </row>
    <row r="9" customFormat="false" ht="15" hidden="false" customHeight="true" outlineLevel="0" collapsed="false">
      <c r="A9" s="8"/>
      <c r="B9" s="9"/>
      <c r="C9" s="9"/>
      <c r="D9" s="8"/>
      <c r="E9" s="9"/>
      <c r="F9" s="9"/>
      <c r="G9" s="9"/>
    </row>
    <row r="10" customFormat="false" ht="15" hidden="false" customHeight="true" outlineLevel="0" collapsed="false">
      <c r="A10" s="8"/>
      <c r="B10" s="9"/>
      <c r="C10" s="9"/>
      <c r="D10" s="8"/>
      <c r="E10" s="9"/>
      <c r="F10" s="9"/>
      <c r="G10" s="9"/>
    </row>
    <row r="11" customFormat="false" ht="15" hidden="false" customHeight="true" outlineLevel="0" collapsed="false">
      <c r="A11" s="8"/>
      <c r="B11" s="9"/>
      <c r="C11" s="9"/>
      <c r="D11" s="8"/>
      <c r="E11" s="9"/>
      <c r="F11" s="9"/>
      <c r="G11" s="9"/>
    </row>
    <row r="12" customFormat="false" ht="15" hidden="false" customHeight="true" outlineLevel="0" collapsed="false">
      <c r="A12" s="8"/>
      <c r="B12" s="9"/>
      <c r="C12" s="9"/>
      <c r="D12" s="8"/>
      <c r="E12" s="9"/>
      <c r="F12" s="9"/>
      <c r="G12" s="9"/>
    </row>
    <row r="13" customFormat="false" ht="15" hidden="false" customHeight="true" outlineLevel="0" collapsed="false">
      <c r="A13" s="8"/>
      <c r="B13" s="9"/>
      <c r="C13" s="9"/>
      <c r="D13" s="8"/>
      <c r="E13" s="9"/>
      <c r="F13" s="9"/>
      <c r="G13" s="9"/>
    </row>
    <row r="14" customFormat="false" ht="15" hidden="false" customHeight="true" outlineLevel="0" collapsed="false">
      <c r="A14" s="8"/>
      <c r="B14" s="9"/>
      <c r="C14" s="9"/>
      <c r="D14" s="8"/>
      <c r="E14" s="9"/>
      <c r="F14" s="9"/>
      <c r="G14" s="9"/>
    </row>
    <row r="15" customFormat="false" ht="15" hidden="false" customHeight="true" outlineLevel="0" collapsed="false">
      <c r="A15" s="8"/>
      <c r="B15" s="9"/>
      <c r="C15" s="9"/>
      <c r="D15" s="8"/>
      <c r="E15" s="9"/>
      <c r="F15" s="9"/>
      <c r="G15" s="9"/>
    </row>
    <row r="16" customFormat="false" ht="15" hidden="false" customHeight="true" outlineLevel="0" collapsed="false">
      <c r="A16" s="8"/>
      <c r="B16" s="9"/>
      <c r="C16" s="9"/>
      <c r="D16" s="8"/>
      <c r="E16" s="9"/>
      <c r="F16" s="9"/>
      <c r="G16" s="9"/>
    </row>
    <row r="17" customFormat="false" ht="15" hidden="false" customHeight="true" outlineLevel="0" collapsed="false">
      <c r="A17" s="8"/>
      <c r="B17" s="9"/>
      <c r="C17" s="9"/>
      <c r="D17" s="8"/>
      <c r="E17" s="9"/>
      <c r="F17" s="9"/>
      <c r="G17" s="9"/>
    </row>
    <row r="18" customFormat="false" ht="15" hidden="false" customHeight="true" outlineLevel="0" collapsed="false">
      <c r="A18" s="8"/>
      <c r="B18" s="9"/>
      <c r="C18" s="9"/>
      <c r="D18" s="8"/>
      <c r="E18" s="9"/>
      <c r="F18" s="9"/>
      <c r="G18" s="9"/>
    </row>
    <row r="19" customFormat="false" ht="15" hidden="false" customHeight="true" outlineLevel="0" collapsed="false">
      <c r="A19" s="8"/>
      <c r="B19" s="9"/>
      <c r="C19" s="9"/>
      <c r="D19" s="8"/>
      <c r="E19" s="9"/>
      <c r="F19" s="9"/>
      <c r="G19" s="9"/>
    </row>
    <row r="20" customFormat="false" ht="15" hidden="false" customHeight="true" outlineLevel="0" collapsed="false">
      <c r="A20" s="8"/>
      <c r="B20" s="9"/>
      <c r="C20" s="9"/>
      <c r="D20" s="8"/>
      <c r="E20" s="9"/>
      <c r="F20" s="9"/>
      <c r="G20" s="9"/>
    </row>
    <row r="21" customFormat="false" ht="15" hidden="false" customHeight="true" outlineLevel="0" collapsed="false">
      <c r="A21" s="8"/>
      <c r="B21" s="9"/>
      <c r="C21" s="9"/>
      <c r="D21" s="8"/>
      <c r="E21" s="9"/>
      <c r="F21" s="9"/>
      <c r="G21" s="9"/>
    </row>
    <row r="22" customFormat="false" ht="15" hidden="false" customHeight="true" outlineLevel="0" collapsed="false">
      <c r="A22" s="8"/>
      <c r="B22" s="9"/>
      <c r="C22" s="9"/>
      <c r="D22" s="8"/>
      <c r="E22" s="9"/>
      <c r="F22" s="9"/>
      <c r="G22" s="9"/>
    </row>
    <row r="23" customFormat="false" ht="15" hidden="false" customHeight="true" outlineLevel="0" collapsed="false">
      <c r="A23" s="8"/>
      <c r="B23" s="9"/>
      <c r="C23" s="9"/>
      <c r="D23" s="8"/>
      <c r="E23" s="9"/>
      <c r="F23" s="9"/>
      <c r="G23" s="9"/>
    </row>
    <row r="24" customFormat="false" ht="15" hidden="false" customHeight="true" outlineLevel="0" collapsed="false">
      <c r="A24" s="8"/>
      <c r="B24" s="9"/>
      <c r="C24" s="9"/>
      <c r="D24" s="8"/>
      <c r="E24" s="9"/>
      <c r="F24" s="9"/>
      <c r="G24" s="9"/>
    </row>
    <row r="25" customFormat="false" ht="15" hidden="false" customHeight="true" outlineLevel="0" collapsed="false">
      <c r="A25" s="8"/>
      <c r="B25" s="9"/>
      <c r="C25" s="9"/>
      <c r="D25" s="8"/>
      <c r="E25" s="9"/>
      <c r="F25" s="9"/>
      <c r="G25" s="9"/>
    </row>
    <row r="26" customFormat="false" ht="15" hidden="false" customHeight="true" outlineLevel="0" collapsed="false">
      <c r="A26" s="8"/>
      <c r="B26" s="9"/>
      <c r="C26" s="9"/>
      <c r="D26" s="8"/>
      <c r="E26" s="9"/>
      <c r="F26" s="9"/>
      <c r="G26" s="9"/>
    </row>
    <row r="27" customFormat="false" ht="15" hidden="false" customHeight="true" outlineLevel="0" collapsed="false">
      <c r="A27" s="8"/>
      <c r="B27" s="9"/>
      <c r="C27" s="9"/>
      <c r="D27" s="8"/>
      <c r="E27" s="9"/>
      <c r="F27" s="9"/>
      <c r="G27" s="9"/>
    </row>
    <row r="28" customFormat="false" ht="15" hidden="false" customHeight="true" outlineLevel="0" collapsed="false">
      <c r="A28" s="8"/>
      <c r="B28" s="9"/>
      <c r="C28" s="9"/>
      <c r="D28" s="8"/>
      <c r="E28" s="9"/>
      <c r="F28" s="9"/>
      <c r="G28" s="9"/>
    </row>
    <row r="29" customFormat="false" ht="15" hidden="false" customHeight="true" outlineLevel="0" collapsed="false">
      <c r="A29" s="8"/>
      <c r="B29" s="9"/>
      <c r="C29" s="9"/>
      <c r="D29" s="8"/>
      <c r="E29" s="9"/>
      <c r="F29" s="9"/>
      <c r="G29" s="9"/>
    </row>
    <row r="30" customFormat="false" ht="15" hidden="false" customHeight="true" outlineLevel="0" collapsed="false">
      <c r="A30" s="8"/>
      <c r="B30" s="9"/>
      <c r="C30" s="9"/>
      <c r="D30" s="8"/>
      <c r="E30" s="9"/>
      <c r="F30" s="9"/>
      <c r="G30" s="9"/>
    </row>
    <row r="31" customFormat="false" ht="15" hidden="false" customHeight="true" outlineLevel="0" collapsed="false">
      <c r="A31" s="8"/>
      <c r="B31" s="9"/>
      <c r="C31" s="9"/>
      <c r="D31" s="8"/>
      <c r="E31" s="9"/>
      <c r="F31" s="9"/>
      <c r="G31" s="9"/>
    </row>
    <row r="32" customFormat="false" ht="15" hidden="false" customHeight="true" outlineLevel="0" collapsed="false">
      <c r="A32" s="8"/>
      <c r="B32" s="9"/>
      <c r="C32" s="9"/>
      <c r="D32" s="8"/>
      <c r="E32" s="9"/>
      <c r="F32" s="9"/>
      <c r="G32" s="9"/>
    </row>
    <row r="33" customFormat="false" ht="15" hidden="false" customHeight="true" outlineLevel="0" collapsed="false">
      <c r="A33" s="8"/>
      <c r="B33" s="9"/>
      <c r="C33" s="9"/>
      <c r="D33" s="8"/>
      <c r="E33" s="9"/>
      <c r="F33" s="9"/>
      <c r="G33" s="9"/>
    </row>
    <row r="34" customFormat="false" ht="15" hidden="false" customHeight="true" outlineLevel="0" collapsed="false">
      <c r="A34" s="8"/>
      <c r="B34" s="9"/>
      <c r="C34" s="9"/>
      <c r="D34" s="8"/>
      <c r="E34" s="9"/>
      <c r="F34" s="9"/>
      <c r="G34" s="9"/>
    </row>
    <row r="35" customFormat="false" ht="15" hidden="false" customHeight="true" outlineLevel="0" collapsed="false">
      <c r="A35" s="8"/>
      <c r="B35" s="9"/>
      <c r="C35" s="9"/>
      <c r="D35" s="8"/>
      <c r="E35" s="9"/>
      <c r="F35" s="9"/>
      <c r="G35" s="9"/>
    </row>
    <row r="36" customFormat="false" ht="15" hidden="false" customHeight="true" outlineLevel="0" collapsed="false">
      <c r="A36" s="8"/>
      <c r="B36" s="9"/>
      <c r="C36" s="9"/>
      <c r="D36" s="8"/>
      <c r="E36" s="9"/>
      <c r="F36" s="9"/>
      <c r="G36" s="9"/>
    </row>
    <row r="37" customFormat="false" ht="15" hidden="false" customHeight="true" outlineLevel="0" collapsed="false">
      <c r="A37" s="8"/>
      <c r="B37" s="9"/>
      <c r="C37" s="9"/>
      <c r="D37" s="8"/>
      <c r="E37" s="9"/>
      <c r="F37" s="9"/>
      <c r="G37" s="9"/>
    </row>
    <row r="38" customFormat="false" ht="15" hidden="false" customHeight="true" outlineLevel="0" collapsed="false">
      <c r="A38" s="8"/>
      <c r="B38" s="9"/>
      <c r="C38" s="9"/>
      <c r="D38" s="8"/>
      <c r="E38" s="9"/>
      <c r="F38" s="9"/>
      <c r="G38" s="9"/>
    </row>
    <row r="39" customFormat="false" ht="15" hidden="false" customHeight="true" outlineLevel="0" collapsed="false">
      <c r="A39" s="8"/>
      <c r="B39" s="9"/>
      <c r="C39" s="9"/>
      <c r="D39" s="8"/>
      <c r="E39" s="9"/>
      <c r="F39" s="9"/>
      <c r="G39" s="9"/>
    </row>
    <row r="40" customFormat="false" ht="15" hidden="false" customHeight="true" outlineLevel="0" collapsed="false">
      <c r="A40" s="8"/>
      <c r="B40" s="9"/>
      <c r="C40" s="9"/>
      <c r="D40" s="8"/>
      <c r="E40" s="9"/>
      <c r="F40" s="9"/>
      <c r="G40" s="9"/>
    </row>
    <row r="41" customFormat="false" ht="15" hidden="false" customHeight="true" outlineLevel="0" collapsed="false">
      <c r="A41" s="8"/>
      <c r="B41" s="9"/>
      <c r="C41" s="9"/>
      <c r="D41" s="8"/>
      <c r="E41" s="9"/>
      <c r="F41" s="9"/>
      <c r="G41" s="9"/>
    </row>
    <row r="42" customFormat="false" ht="15" hidden="false" customHeight="true" outlineLevel="0" collapsed="false">
      <c r="A42" s="8"/>
      <c r="B42" s="9"/>
      <c r="C42" s="9"/>
      <c r="D42" s="8"/>
      <c r="E42" s="9"/>
      <c r="F42" s="9"/>
      <c r="G42" s="9"/>
    </row>
    <row r="43" customFormat="false" ht="15" hidden="false" customHeight="true" outlineLevel="0" collapsed="false">
      <c r="A43" s="8"/>
      <c r="B43" s="9"/>
      <c r="C43" s="9"/>
      <c r="D43" s="8"/>
      <c r="E43" s="9"/>
      <c r="F43" s="9"/>
      <c r="G43" s="9"/>
    </row>
    <row r="44" customFormat="false" ht="15" hidden="false" customHeight="true" outlineLevel="0" collapsed="false">
      <c r="A44" s="8"/>
      <c r="B44" s="9"/>
      <c r="C44" s="9"/>
      <c r="D44" s="8"/>
      <c r="E44" s="9"/>
      <c r="F44" s="9"/>
      <c r="G44" s="9"/>
    </row>
    <row r="45" customFormat="false" ht="15" hidden="false" customHeight="true" outlineLevel="0" collapsed="false">
      <c r="A45" s="8"/>
      <c r="B45" s="9"/>
      <c r="C45" s="9"/>
      <c r="D45" s="8"/>
      <c r="E45" s="9"/>
      <c r="F45" s="9"/>
      <c r="G45" s="9"/>
    </row>
    <row r="46" customFormat="false" ht="15" hidden="false" customHeight="true" outlineLevel="0" collapsed="false">
      <c r="A46" s="8"/>
      <c r="B46" s="9"/>
      <c r="C46" s="9"/>
      <c r="D46" s="8"/>
      <c r="E46" s="9"/>
      <c r="F46" s="9"/>
      <c r="G46" s="9"/>
    </row>
    <row r="47" customFormat="false" ht="15" hidden="false" customHeight="true" outlineLevel="0" collapsed="false">
      <c r="A47" s="8"/>
      <c r="B47" s="9"/>
      <c r="C47" s="9"/>
      <c r="D47" s="8"/>
      <c r="E47" s="9"/>
      <c r="F47" s="9"/>
      <c r="G47" s="9"/>
    </row>
    <row r="48" customFormat="false" ht="15" hidden="false" customHeight="true" outlineLevel="0" collapsed="false">
      <c r="A48" s="8"/>
      <c r="B48" s="9"/>
      <c r="C48" s="9"/>
      <c r="D48" s="8"/>
      <c r="E48" s="9"/>
      <c r="F48" s="9"/>
      <c r="G48" s="9"/>
    </row>
    <row r="49" customFormat="false" ht="15" hidden="false" customHeight="true" outlineLevel="0" collapsed="false">
      <c r="A49" s="8"/>
      <c r="B49" s="9"/>
      <c r="C49" s="9"/>
      <c r="D49" s="8"/>
      <c r="E49" s="9"/>
      <c r="F49" s="9"/>
      <c r="G49" s="9"/>
    </row>
    <row r="50" customFormat="false" ht="15" hidden="false" customHeight="true" outlineLevel="0" collapsed="false">
      <c r="A50" s="8"/>
      <c r="B50" s="9"/>
      <c r="C50" s="9"/>
      <c r="D50" s="8"/>
      <c r="E50" s="9"/>
      <c r="F50" s="9"/>
      <c r="G50" s="9"/>
    </row>
    <row r="51" customFormat="false" ht="15" hidden="false" customHeight="true" outlineLevel="0" collapsed="false">
      <c r="A51" s="8"/>
      <c r="B51" s="9"/>
      <c r="C51" s="9"/>
      <c r="D51" s="8"/>
      <c r="E51" s="9"/>
      <c r="F51" s="9"/>
      <c r="G51" s="9"/>
    </row>
    <row r="52" customFormat="false" ht="15" hidden="false" customHeight="true" outlineLevel="0" collapsed="false">
      <c r="A52" s="8"/>
      <c r="B52" s="9"/>
      <c r="C52" s="9"/>
      <c r="D52" s="8"/>
      <c r="E52" s="9"/>
      <c r="F52" s="9"/>
      <c r="G52" s="9"/>
    </row>
    <row r="53" customFormat="false" ht="15" hidden="false" customHeight="true" outlineLevel="0" collapsed="false">
      <c r="A53" s="8"/>
      <c r="B53" s="9"/>
      <c r="C53" s="9"/>
      <c r="D53" s="8"/>
      <c r="E53" s="9"/>
      <c r="F53" s="9"/>
      <c r="G53" s="9"/>
    </row>
    <row r="54" customFormat="false" ht="15" hidden="false" customHeight="true" outlineLevel="0" collapsed="false">
      <c r="A54" s="8"/>
      <c r="B54" s="9"/>
      <c r="C54" s="9"/>
      <c r="D54" s="8"/>
      <c r="E54" s="9"/>
      <c r="F54" s="9"/>
      <c r="G54" s="9"/>
    </row>
    <row r="55" customFormat="false" ht="15" hidden="false" customHeight="true" outlineLevel="0" collapsed="false">
      <c r="A55" s="8"/>
      <c r="B55" s="9"/>
      <c r="C55" s="9"/>
      <c r="D55" s="8"/>
      <c r="E55" s="9"/>
      <c r="F55" s="9"/>
      <c r="G55" s="9"/>
    </row>
    <row r="56" customFormat="false" ht="15" hidden="false" customHeight="true" outlineLevel="0" collapsed="false">
      <c r="A56" s="8"/>
      <c r="B56" s="9"/>
      <c r="C56" s="9"/>
      <c r="D56" s="8"/>
      <c r="E56" s="9"/>
      <c r="F56" s="9"/>
      <c r="G56" s="9"/>
    </row>
    <row r="57" customFormat="false" ht="15" hidden="false" customHeight="true" outlineLevel="0" collapsed="false">
      <c r="A57" s="8"/>
      <c r="B57" s="9"/>
      <c r="C57" s="9"/>
      <c r="D57" s="8"/>
      <c r="E57" s="9"/>
      <c r="F57" s="9"/>
      <c r="G57" s="9"/>
    </row>
    <row r="58" customFormat="false" ht="15" hidden="false" customHeight="true" outlineLevel="0" collapsed="false">
      <c r="A58" s="8"/>
      <c r="B58" s="9"/>
      <c r="C58" s="9"/>
      <c r="D58" s="8"/>
      <c r="E58" s="9"/>
      <c r="F58" s="9"/>
      <c r="G58" s="9"/>
    </row>
    <row r="59" customFormat="false" ht="15" hidden="false" customHeight="true" outlineLevel="0" collapsed="false">
      <c r="A59" s="8"/>
      <c r="B59" s="9"/>
      <c r="C59" s="9"/>
      <c r="D59" s="8"/>
      <c r="E59" s="9"/>
      <c r="F59" s="9"/>
      <c r="G59" s="9"/>
    </row>
    <row r="60" customFormat="false" ht="15" hidden="false" customHeight="true" outlineLevel="0" collapsed="false">
      <c r="A60" s="8"/>
      <c r="B60" s="9"/>
      <c r="C60" s="9"/>
      <c r="D60" s="8"/>
      <c r="E60" s="9"/>
      <c r="F60" s="9"/>
      <c r="G60" s="9"/>
    </row>
    <row r="61" customFormat="false" ht="15" hidden="false" customHeight="true" outlineLevel="0" collapsed="false">
      <c r="A61" s="8"/>
      <c r="B61" s="9"/>
      <c r="C61" s="9"/>
      <c r="D61" s="8"/>
      <c r="E61" s="9"/>
      <c r="F61" s="9"/>
      <c r="G61" s="9"/>
    </row>
    <row r="62" customFormat="false" ht="15" hidden="false" customHeight="true" outlineLevel="0" collapsed="false">
      <c r="A62" s="8"/>
      <c r="B62" s="9"/>
      <c r="C62" s="9"/>
      <c r="D62" s="8"/>
      <c r="E62" s="9"/>
      <c r="F62" s="9"/>
      <c r="G62" s="9"/>
    </row>
    <row r="63" customFormat="false" ht="15" hidden="false" customHeight="true" outlineLevel="0" collapsed="false">
      <c r="A63" s="8"/>
      <c r="B63" s="9"/>
      <c r="C63" s="9"/>
      <c r="D63" s="8"/>
      <c r="E63" s="9"/>
      <c r="F63" s="9"/>
      <c r="G63" s="9"/>
    </row>
    <row r="64" customFormat="false" ht="15" hidden="false" customHeight="true" outlineLevel="0" collapsed="false">
      <c r="A64" s="8"/>
      <c r="B64" s="9"/>
      <c r="C64" s="9"/>
      <c r="D64" s="8"/>
      <c r="E64" s="9"/>
      <c r="F64" s="9"/>
      <c r="G64" s="9"/>
    </row>
    <row r="65" customFormat="false" ht="15" hidden="false" customHeight="true" outlineLevel="0" collapsed="false">
      <c r="A65" s="8"/>
      <c r="B65" s="9"/>
      <c r="C65" s="9"/>
      <c r="D65" s="8"/>
      <c r="E65" s="9"/>
      <c r="F65" s="9"/>
      <c r="G65" s="9"/>
    </row>
    <row r="66" customFormat="false" ht="15" hidden="false" customHeight="true" outlineLevel="0" collapsed="false">
      <c r="A66" s="8"/>
      <c r="B66" s="9"/>
      <c r="C66" s="9"/>
      <c r="D66" s="8"/>
      <c r="E66" s="9"/>
      <c r="F66" s="9"/>
      <c r="G66" s="9"/>
    </row>
    <row r="67" customFormat="false" ht="15" hidden="false" customHeight="true" outlineLevel="0" collapsed="false">
      <c r="A67" s="8"/>
      <c r="B67" s="9"/>
      <c r="C67" s="9"/>
      <c r="D67" s="8"/>
      <c r="E67" s="9"/>
      <c r="F67" s="9"/>
      <c r="G67" s="9"/>
    </row>
    <row r="68" customFormat="false" ht="15" hidden="false" customHeight="true" outlineLevel="0" collapsed="false">
      <c r="A68" s="8"/>
      <c r="B68" s="9"/>
      <c r="C68" s="9"/>
      <c r="D68" s="8"/>
      <c r="E68" s="9"/>
      <c r="F68" s="9"/>
      <c r="G68" s="9"/>
    </row>
    <row r="69" customFormat="false" ht="15" hidden="false" customHeight="true" outlineLevel="0" collapsed="false">
      <c r="A69" s="8"/>
      <c r="B69" s="9"/>
      <c r="C69" s="9"/>
      <c r="D69" s="8"/>
      <c r="E69" s="9"/>
      <c r="F69" s="9"/>
      <c r="G69" s="9"/>
    </row>
    <row r="70" customFormat="false" ht="15" hidden="false" customHeight="true" outlineLevel="0" collapsed="false">
      <c r="A70" s="8"/>
      <c r="B70" s="9"/>
      <c r="C70" s="9"/>
      <c r="D70" s="8"/>
      <c r="E70" s="9"/>
      <c r="F70" s="9"/>
      <c r="G70" s="9"/>
    </row>
    <row r="71" customFormat="false" ht="15" hidden="false" customHeight="true" outlineLevel="0" collapsed="false">
      <c r="A71" s="8"/>
      <c r="B71" s="9"/>
      <c r="C71" s="9"/>
      <c r="D71" s="8"/>
      <c r="E71" s="9"/>
      <c r="F71" s="9"/>
      <c r="G71" s="9"/>
    </row>
    <row r="72" customFormat="false" ht="15" hidden="false" customHeight="true" outlineLevel="0" collapsed="false">
      <c r="A72" s="8"/>
      <c r="B72" s="9"/>
      <c r="C72" s="9"/>
      <c r="D72" s="8"/>
      <c r="E72" s="9"/>
      <c r="F72" s="9"/>
      <c r="G72" s="9"/>
    </row>
    <row r="73" customFormat="false" ht="15" hidden="false" customHeight="true" outlineLevel="0" collapsed="false">
      <c r="A73" s="8"/>
      <c r="B73" s="9"/>
      <c r="C73" s="9"/>
      <c r="D73" s="8"/>
      <c r="E73" s="9"/>
      <c r="F73" s="9"/>
      <c r="G73" s="9"/>
    </row>
    <row r="74" customFormat="false" ht="15" hidden="false" customHeight="true" outlineLevel="0" collapsed="false">
      <c r="A74" s="8"/>
      <c r="B74" s="9"/>
      <c r="C74" s="9"/>
      <c r="D74" s="8"/>
      <c r="E74" s="9"/>
      <c r="F74" s="9"/>
      <c r="G74" s="9"/>
    </row>
    <row r="75" customFormat="false" ht="15" hidden="false" customHeight="true" outlineLevel="0" collapsed="false">
      <c r="A75" s="8"/>
      <c r="B75" s="9"/>
      <c r="C75" s="9"/>
      <c r="D75" s="8"/>
      <c r="E75" s="9"/>
      <c r="F75" s="9"/>
      <c r="G75" s="9"/>
    </row>
    <row r="76" customFormat="false" ht="15" hidden="false" customHeight="true" outlineLevel="0" collapsed="false">
      <c r="A76" s="8"/>
      <c r="B76" s="9"/>
      <c r="C76" s="9"/>
      <c r="D76" s="8"/>
      <c r="E76" s="9"/>
      <c r="F76" s="9"/>
      <c r="G76" s="9"/>
    </row>
    <row r="77" customFormat="false" ht="15" hidden="false" customHeight="true" outlineLevel="0" collapsed="false">
      <c r="A77" s="8"/>
      <c r="B77" s="9"/>
      <c r="C77" s="9"/>
      <c r="D77" s="8"/>
      <c r="E77" s="9"/>
      <c r="F77" s="9"/>
      <c r="G77" s="9"/>
    </row>
    <row r="78" customFormat="false" ht="15" hidden="false" customHeight="true" outlineLevel="0" collapsed="false">
      <c r="A78" s="8"/>
      <c r="B78" s="9"/>
      <c r="C78" s="9"/>
      <c r="D78" s="8"/>
      <c r="E78" s="9"/>
      <c r="F78" s="9"/>
      <c r="G78" s="9"/>
    </row>
    <row r="79" customFormat="false" ht="15" hidden="false" customHeight="true" outlineLevel="0" collapsed="false">
      <c r="A79" s="8"/>
      <c r="B79" s="9"/>
      <c r="C79" s="9"/>
      <c r="D79" s="8"/>
      <c r="E79" s="9"/>
      <c r="F79" s="9"/>
      <c r="G79" s="9"/>
    </row>
    <row r="80" customFormat="false" ht="15" hidden="false" customHeight="true" outlineLevel="0" collapsed="false">
      <c r="A80" s="8"/>
      <c r="B80" s="9"/>
      <c r="C80" s="9"/>
      <c r="D80" s="8"/>
      <c r="E80" s="9"/>
      <c r="F80" s="9"/>
      <c r="G80" s="9"/>
    </row>
    <row r="81" customFormat="false" ht="15" hidden="false" customHeight="true" outlineLevel="0" collapsed="false">
      <c r="A81" s="8"/>
      <c r="B81" s="9"/>
      <c r="C81" s="9"/>
      <c r="D81" s="8"/>
      <c r="E81" s="9"/>
      <c r="F81" s="9"/>
      <c r="G81" s="9"/>
    </row>
    <row r="82" customFormat="false" ht="15" hidden="false" customHeight="true" outlineLevel="0" collapsed="false">
      <c r="A82" s="8"/>
      <c r="B82" s="9"/>
      <c r="C82" s="9"/>
      <c r="D82" s="8"/>
      <c r="E82" s="9"/>
      <c r="F82" s="9"/>
      <c r="G82" s="9"/>
    </row>
    <row r="83" customFormat="false" ht="15" hidden="false" customHeight="true" outlineLevel="0" collapsed="false">
      <c r="A83" s="8"/>
      <c r="B83" s="9"/>
      <c r="C83" s="9"/>
      <c r="D83" s="8"/>
      <c r="E83" s="9"/>
      <c r="F83" s="9"/>
      <c r="G83" s="9"/>
    </row>
    <row r="84" customFormat="false" ht="15" hidden="false" customHeight="true" outlineLevel="0" collapsed="false">
      <c r="A84" s="8"/>
      <c r="B84" s="9"/>
      <c r="C84" s="9"/>
      <c r="D84" s="8"/>
      <c r="E84" s="9"/>
      <c r="F84" s="9"/>
      <c r="G84" s="9"/>
    </row>
    <row r="85" customFormat="false" ht="15" hidden="false" customHeight="true" outlineLevel="0" collapsed="false">
      <c r="A85" s="8"/>
      <c r="B85" s="9"/>
      <c r="C85" s="9"/>
      <c r="D85" s="8"/>
      <c r="E85" s="9"/>
      <c r="F85" s="9"/>
      <c r="G85" s="9"/>
    </row>
    <row r="86" customFormat="false" ht="15" hidden="false" customHeight="true" outlineLevel="0" collapsed="false">
      <c r="A86" s="8"/>
      <c r="B86" s="9"/>
      <c r="C86" s="9"/>
      <c r="D86" s="8"/>
      <c r="E86" s="9"/>
      <c r="F86" s="9"/>
      <c r="G86" s="9"/>
    </row>
    <row r="87" customFormat="false" ht="15" hidden="false" customHeight="true" outlineLevel="0" collapsed="false">
      <c r="A87" s="8"/>
      <c r="B87" s="9"/>
      <c r="C87" s="9"/>
      <c r="D87" s="8"/>
      <c r="E87" s="9"/>
      <c r="F87" s="9"/>
      <c r="G87" s="9"/>
    </row>
    <row r="88" customFormat="false" ht="15" hidden="false" customHeight="true" outlineLevel="0" collapsed="false">
      <c r="A88" s="8"/>
      <c r="B88" s="9"/>
      <c r="C88" s="9"/>
      <c r="D88" s="8"/>
      <c r="E88" s="9"/>
      <c r="F88" s="9"/>
      <c r="G88" s="9"/>
    </row>
    <row r="89" customFormat="false" ht="15" hidden="false" customHeight="true" outlineLevel="0" collapsed="false">
      <c r="A89" s="8"/>
      <c r="B89" s="9"/>
      <c r="C89" s="9"/>
      <c r="D89" s="8"/>
      <c r="E89" s="9"/>
      <c r="F89" s="9"/>
      <c r="G89" s="9"/>
    </row>
    <row r="90" customFormat="false" ht="15" hidden="false" customHeight="true" outlineLevel="0" collapsed="false">
      <c r="A90" s="8"/>
      <c r="B90" s="9"/>
      <c r="C90" s="9"/>
      <c r="D90" s="8"/>
      <c r="E90" s="9"/>
      <c r="F90" s="9"/>
      <c r="G90" s="9"/>
    </row>
    <row r="91" customFormat="false" ht="15" hidden="false" customHeight="true" outlineLevel="0" collapsed="false">
      <c r="A91" s="8"/>
      <c r="B91" s="9"/>
      <c r="C91" s="9"/>
      <c r="D91" s="8"/>
      <c r="E91" s="9"/>
      <c r="F91" s="9"/>
      <c r="G91" s="9"/>
    </row>
    <row r="92" customFormat="false" ht="15" hidden="false" customHeight="true" outlineLevel="0" collapsed="false">
      <c r="A92" s="8"/>
      <c r="B92" s="9"/>
      <c r="C92" s="9"/>
      <c r="D92" s="8"/>
      <c r="E92" s="9"/>
      <c r="F92" s="9"/>
      <c r="G92" s="9"/>
    </row>
    <row r="93" customFormat="false" ht="15" hidden="false" customHeight="true" outlineLevel="0" collapsed="false">
      <c r="A93" s="8"/>
      <c r="B93" s="9"/>
      <c r="C93" s="9"/>
      <c r="D93" s="8"/>
      <c r="E93" s="9"/>
      <c r="F93" s="9"/>
      <c r="G93" s="9"/>
    </row>
    <row r="94" customFormat="false" ht="15" hidden="false" customHeight="true" outlineLevel="0" collapsed="false">
      <c r="A94" s="8"/>
      <c r="B94" s="9"/>
      <c r="C94" s="9"/>
      <c r="D94" s="8"/>
      <c r="E94" s="9"/>
      <c r="F94" s="9"/>
      <c r="G94" s="9"/>
    </row>
    <row r="95" customFormat="false" ht="15" hidden="false" customHeight="true" outlineLevel="0" collapsed="false">
      <c r="A95" s="8"/>
      <c r="B95" s="9"/>
      <c r="C95" s="9"/>
      <c r="D95" s="8"/>
      <c r="E95" s="9"/>
      <c r="F95" s="9"/>
      <c r="G95" s="9"/>
    </row>
    <row r="96" customFormat="false" ht="15" hidden="false" customHeight="true" outlineLevel="0" collapsed="false">
      <c r="A96" s="8"/>
      <c r="B96" s="9"/>
      <c r="C96" s="9"/>
      <c r="D96" s="8"/>
      <c r="E96" s="9"/>
      <c r="F96" s="9"/>
      <c r="G96" s="9"/>
    </row>
    <row r="97" customFormat="false" ht="15" hidden="false" customHeight="true" outlineLevel="0" collapsed="false">
      <c r="A97" s="8"/>
      <c r="B97" s="9"/>
      <c r="C97" s="9"/>
      <c r="D97" s="8"/>
      <c r="E97" s="9"/>
      <c r="F97" s="9"/>
      <c r="G97" s="9"/>
    </row>
    <row r="98" customFormat="false" ht="15" hidden="false" customHeight="true" outlineLevel="0" collapsed="false">
      <c r="A98" s="8"/>
      <c r="B98" s="9"/>
      <c r="C98" s="9"/>
      <c r="D98" s="8"/>
      <c r="E98" s="9"/>
      <c r="F98" s="9"/>
      <c r="G98" s="9"/>
    </row>
    <row r="99" customFormat="false" ht="15" hidden="false" customHeight="true" outlineLevel="0" collapsed="false">
      <c r="A99" s="8"/>
      <c r="B99" s="9"/>
      <c r="C99" s="9"/>
      <c r="D99" s="8"/>
      <c r="E99" s="9"/>
      <c r="F99" s="9"/>
      <c r="G99" s="9"/>
    </row>
    <row r="100" customFormat="false" ht="15" hidden="false" customHeight="true" outlineLevel="0" collapsed="false">
      <c r="A100" s="8"/>
      <c r="B100" s="9"/>
      <c r="C100" s="9"/>
      <c r="D100" s="8"/>
      <c r="E100" s="9"/>
      <c r="F100" s="9"/>
      <c r="G100" s="9"/>
    </row>
    <row r="101" customFormat="false" ht="15" hidden="false" customHeight="true" outlineLevel="0" collapsed="false">
      <c r="A101" s="8"/>
      <c r="B101" s="9"/>
      <c r="C101" s="9"/>
      <c r="D101" s="8"/>
      <c r="E101" s="9"/>
      <c r="F101" s="9"/>
      <c r="G101" s="9"/>
    </row>
    <row r="102" customFormat="false" ht="15" hidden="false" customHeight="true" outlineLevel="0" collapsed="false">
      <c r="A102" s="8"/>
      <c r="B102" s="9"/>
      <c r="C102" s="9"/>
      <c r="D102" s="8"/>
      <c r="E102" s="9"/>
      <c r="F102" s="9"/>
      <c r="G102" s="9"/>
    </row>
    <row r="103" customFormat="false" ht="15" hidden="false" customHeight="true" outlineLevel="0" collapsed="false">
      <c r="A103" s="8"/>
      <c r="B103" s="9"/>
      <c r="C103" s="9"/>
      <c r="D103" s="8"/>
      <c r="E103" s="9"/>
      <c r="F103" s="9"/>
      <c r="G103" s="9"/>
    </row>
    <row r="104" customFormat="false" ht="15" hidden="false" customHeight="true" outlineLevel="0" collapsed="false">
      <c r="A104" s="8"/>
      <c r="B104" s="9"/>
      <c r="C104" s="9"/>
      <c r="D104" s="8"/>
      <c r="E104" s="9"/>
      <c r="F104" s="9"/>
      <c r="G104" s="9"/>
    </row>
    <row r="105" customFormat="false" ht="15" hidden="false" customHeight="true" outlineLevel="0" collapsed="false">
      <c r="A105" s="8"/>
      <c r="B105" s="9"/>
      <c r="C105" s="9"/>
      <c r="D105" s="8"/>
      <c r="E105" s="9"/>
      <c r="F105" s="9"/>
      <c r="G105" s="9"/>
    </row>
    <row r="106" customFormat="false" ht="15" hidden="false" customHeight="true" outlineLevel="0" collapsed="false">
      <c r="A106" s="8"/>
      <c r="B106" s="9"/>
      <c r="C106" s="9"/>
      <c r="D106" s="8"/>
      <c r="E106" s="9"/>
      <c r="F106" s="9"/>
      <c r="G106" s="9"/>
    </row>
    <row r="107" customFormat="false" ht="15" hidden="false" customHeight="true" outlineLevel="0" collapsed="false">
      <c r="A107" s="8"/>
      <c r="B107" s="9"/>
      <c r="C107" s="9"/>
      <c r="D107" s="8"/>
      <c r="E107" s="9"/>
      <c r="F107" s="9"/>
      <c r="G107" s="9"/>
    </row>
    <row r="108" customFormat="false" ht="15" hidden="false" customHeight="true" outlineLevel="0" collapsed="false">
      <c r="A108" s="8"/>
      <c r="B108" s="9"/>
      <c r="C108" s="9"/>
      <c r="D108" s="8"/>
      <c r="E108" s="9"/>
      <c r="F108" s="9"/>
      <c r="G108" s="9"/>
    </row>
    <row r="109" customFormat="false" ht="15" hidden="false" customHeight="true" outlineLevel="0" collapsed="false">
      <c r="A109" s="8"/>
      <c r="B109" s="9"/>
      <c r="C109" s="9"/>
      <c r="D109" s="8"/>
      <c r="E109" s="9"/>
      <c r="F109" s="9"/>
      <c r="G109" s="9"/>
    </row>
    <row r="110" customFormat="false" ht="15" hidden="false" customHeight="true" outlineLevel="0" collapsed="false">
      <c r="A110" s="8"/>
      <c r="B110" s="9"/>
      <c r="C110" s="9"/>
      <c r="D110" s="8"/>
      <c r="E110" s="9"/>
      <c r="F110" s="9"/>
      <c r="G110" s="9"/>
    </row>
    <row r="111" customFormat="false" ht="15" hidden="false" customHeight="true" outlineLevel="0" collapsed="false">
      <c r="A111" s="8"/>
      <c r="B111" s="9"/>
      <c r="C111" s="9"/>
      <c r="D111" s="8"/>
      <c r="E111" s="9"/>
      <c r="F111" s="9"/>
      <c r="G111" s="9"/>
    </row>
    <row r="112" customFormat="false" ht="15" hidden="false" customHeight="true" outlineLevel="0" collapsed="false">
      <c r="A112" s="8"/>
      <c r="B112" s="9"/>
      <c r="C112" s="9"/>
      <c r="D112" s="8"/>
      <c r="E112" s="9"/>
      <c r="F112" s="9"/>
      <c r="G112" s="9"/>
    </row>
    <row r="113" customFormat="false" ht="15" hidden="false" customHeight="true" outlineLevel="0" collapsed="false">
      <c r="A113" s="8"/>
      <c r="B113" s="9"/>
      <c r="C113" s="9"/>
      <c r="D113" s="8"/>
      <c r="E113" s="9"/>
      <c r="F113" s="9"/>
      <c r="G113" s="9"/>
    </row>
    <row r="114" customFormat="false" ht="15" hidden="false" customHeight="true" outlineLevel="0" collapsed="false">
      <c r="A114" s="8"/>
      <c r="B114" s="9"/>
      <c r="C114" s="9"/>
      <c r="D114" s="8"/>
      <c r="E114" s="9"/>
      <c r="F114" s="9"/>
      <c r="G114" s="9"/>
    </row>
    <row r="115" customFormat="false" ht="15" hidden="false" customHeight="true" outlineLevel="0" collapsed="false">
      <c r="A115" s="8"/>
      <c r="B115" s="9"/>
      <c r="C115" s="9"/>
      <c r="D115" s="8"/>
      <c r="E115" s="9"/>
      <c r="F115" s="9"/>
      <c r="G115" s="9"/>
    </row>
    <row r="116" customFormat="false" ht="15" hidden="false" customHeight="true" outlineLevel="0" collapsed="false">
      <c r="A116" s="8"/>
      <c r="B116" s="9"/>
      <c r="C116" s="9"/>
      <c r="D116" s="8"/>
      <c r="E116" s="9"/>
      <c r="F116" s="9"/>
      <c r="G116" s="9"/>
    </row>
    <row r="117" customFormat="false" ht="15" hidden="false" customHeight="true" outlineLevel="0" collapsed="false">
      <c r="A117" s="8"/>
      <c r="B117" s="9"/>
      <c r="C117" s="9"/>
      <c r="D117" s="8"/>
      <c r="E117" s="9"/>
      <c r="F117" s="9"/>
      <c r="G117" s="9"/>
    </row>
    <row r="118" customFormat="false" ht="15" hidden="false" customHeight="true" outlineLevel="0" collapsed="false">
      <c r="A118" s="8"/>
      <c r="B118" s="9"/>
      <c r="C118" s="9"/>
      <c r="D118" s="8"/>
      <c r="E118" s="9"/>
      <c r="F118" s="9"/>
      <c r="G118" s="9"/>
    </row>
    <row r="119" customFormat="false" ht="15" hidden="false" customHeight="true" outlineLevel="0" collapsed="false">
      <c r="A119" s="8"/>
      <c r="B119" s="9"/>
      <c r="C119" s="9"/>
      <c r="D119" s="8"/>
      <c r="E119" s="9"/>
      <c r="F119" s="9"/>
      <c r="G119" s="9"/>
    </row>
    <row r="120" customFormat="false" ht="15" hidden="false" customHeight="true" outlineLevel="0" collapsed="false">
      <c r="A120" s="8"/>
      <c r="B120" s="9"/>
      <c r="C120" s="9"/>
      <c r="D120" s="8"/>
      <c r="E120" s="9"/>
      <c r="F120" s="9"/>
      <c r="G120" s="9"/>
    </row>
    <row r="121" customFormat="false" ht="15" hidden="false" customHeight="true" outlineLevel="0" collapsed="false">
      <c r="A121" s="8"/>
      <c r="B121" s="9"/>
      <c r="C121" s="9"/>
      <c r="D121" s="8"/>
      <c r="E121" s="9"/>
      <c r="F121" s="9"/>
      <c r="G121" s="9"/>
    </row>
    <row r="122" customFormat="false" ht="15" hidden="false" customHeight="true" outlineLevel="0" collapsed="false">
      <c r="A122" s="8"/>
      <c r="B122" s="9"/>
      <c r="C122" s="9"/>
      <c r="D122" s="8"/>
      <c r="E122" s="9"/>
      <c r="F122" s="9"/>
      <c r="G122" s="9"/>
    </row>
    <row r="123" customFormat="false" ht="15" hidden="false" customHeight="true" outlineLevel="0" collapsed="false">
      <c r="A123" s="8"/>
      <c r="B123" s="9"/>
      <c r="C123" s="9"/>
      <c r="D123" s="8"/>
      <c r="E123" s="9"/>
      <c r="F123" s="9"/>
      <c r="G123" s="9"/>
    </row>
    <row r="124" customFormat="false" ht="15" hidden="false" customHeight="true" outlineLevel="0" collapsed="false">
      <c r="A124" s="8"/>
      <c r="B124" s="9"/>
      <c r="C124" s="9"/>
      <c r="D124" s="8"/>
      <c r="E124" s="9"/>
      <c r="F124" s="9"/>
      <c r="G124" s="9"/>
    </row>
    <row r="125" customFormat="false" ht="15" hidden="false" customHeight="true" outlineLevel="0" collapsed="false">
      <c r="A125" s="8"/>
      <c r="B125" s="9"/>
      <c r="C125" s="9"/>
      <c r="D125" s="8"/>
      <c r="E125" s="9"/>
      <c r="F125" s="9"/>
      <c r="G125" s="9"/>
    </row>
    <row r="126" customFormat="false" ht="15" hidden="false" customHeight="true" outlineLevel="0" collapsed="false">
      <c r="A126" s="8"/>
      <c r="B126" s="9"/>
      <c r="C126" s="9"/>
      <c r="D126" s="8"/>
      <c r="E126" s="9"/>
      <c r="F126" s="9"/>
      <c r="G126" s="9"/>
    </row>
    <row r="127" customFormat="false" ht="15" hidden="false" customHeight="true" outlineLevel="0" collapsed="false">
      <c r="A127" s="8"/>
      <c r="B127" s="9"/>
      <c r="C127" s="9"/>
      <c r="D127" s="8"/>
      <c r="E127" s="9"/>
      <c r="F127" s="9"/>
      <c r="G127" s="9"/>
    </row>
    <row r="128" customFormat="false" ht="15" hidden="false" customHeight="true" outlineLevel="0" collapsed="false">
      <c r="A128" s="8"/>
      <c r="B128" s="9"/>
      <c r="C128" s="9"/>
      <c r="D128" s="8"/>
      <c r="E128" s="9"/>
      <c r="F128" s="9"/>
      <c r="G128" s="9"/>
    </row>
    <row r="129" customFormat="false" ht="15" hidden="false" customHeight="true" outlineLevel="0" collapsed="false">
      <c r="A129" s="8"/>
      <c r="B129" s="9"/>
      <c r="C129" s="9"/>
      <c r="D129" s="8"/>
      <c r="E129" s="9"/>
      <c r="F129" s="9"/>
      <c r="G129" s="9"/>
    </row>
    <row r="130" customFormat="false" ht="15" hidden="false" customHeight="true" outlineLevel="0" collapsed="false">
      <c r="A130" s="8"/>
      <c r="B130" s="9"/>
      <c r="C130" s="9"/>
      <c r="D130" s="8"/>
      <c r="E130" s="9"/>
      <c r="F130" s="9"/>
      <c r="G130" s="9"/>
    </row>
    <row r="131" customFormat="false" ht="15" hidden="false" customHeight="true" outlineLevel="0" collapsed="false">
      <c r="A131" s="8"/>
      <c r="B131" s="9"/>
      <c r="C131" s="9"/>
      <c r="D131" s="8"/>
      <c r="E131" s="9"/>
      <c r="F131" s="9"/>
      <c r="G131" s="9"/>
    </row>
    <row r="132" customFormat="false" ht="15" hidden="false" customHeight="true" outlineLevel="0" collapsed="false">
      <c r="A132" s="8"/>
      <c r="B132" s="9"/>
      <c r="C132" s="9"/>
      <c r="D132" s="8"/>
      <c r="E132" s="9"/>
      <c r="F132" s="9"/>
      <c r="G132" s="9"/>
    </row>
    <row r="133" customFormat="false" ht="15" hidden="false" customHeight="true" outlineLevel="0" collapsed="false">
      <c r="A133" s="8"/>
      <c r="B133" s="9"/>
      <c r="C133" s="9"/>
      <c r="D133" s="8"/>
      <c r="E133" s="9"/>
      <c r="F133" s="9"/>
      <c r="G133" s="9"/>
    </row>
    <row r="134" customFormat="false" ht="15" hidden="false" customHeight="true" outlineLevel="0" collapsed="false">
      <c r="A134" s="8"/>
      <c r="B134" s="9"/>
      <c r="C134" s="9"/>
      <c r="D134" s="8"/>
      <c r="E134" s="9"/>
      <c r="F134" s="9"/>
      <c r="G134" s="9"/>
    </row>
    <row r="135" customFormat="false" ht="15" hidden="false" customHeight="true" outlineLevel="0" collapsed="false">
      <c r="A135" s="8"/>
      <c r="B135" s="9"/>
      <c r="C135" s="9"/>
      <c r="D135" s="8"/>
      <c r="E135" s="9"/>
      <c r="F135" s="9"/>
      <c r="G135" s="9"/>
    </row>
    <row r="136" customFormat="false" ht="15" hidden="false" customHeight="true" outlineLevel="0" collapsed="false">
      <c r="A136" s="8"/>
      <c r="B136" s="9"/>
      <c r="C136" s="9"/>
      <c r="D136" s="8"/>
      <c r="E136" s="9"/>
      <c r="F136" s="9"/>
      <c r="G136" s="9"/>
    </row>
    <row r="137" customFormat="false" ht="15" hidden="false" customHeight="true" outlineLevel="0" collapsed="false">
      <c r="A137" s="8"/>
      <c r="B137" s="9"/>
      <c r="C137" s="9"/>
      <c r="D137" s="8"/>
      <c r="E137" s="9"/>
      <c r="F137" s="9"/>
      <c r="G137" s="9"/>
    </row>
    <row r="138" customFormat="false" ht="15" hidden="false" customHeight="true" outlineLevel="0" collapsed="false">
      <c r="A138" s="8"/>
      <c r="B138" s="9"/>
      <c r="C138" s="9"/>
      <c r="D138" s="8"/>
      <c r="E138" s="9"/>
      <c r="F138" s="9"/>
      <c r="G138" s="9"/>
    </row>
    <row r="139" customFormat="false" ht="15" hidden="false" customHeight="true" outlineLevel="0" collapsed="false">
      <c r="A139" s="8"/>
      <c r="B139" s="9"/>
      <c r="C139" s="9"/>
      <c r="D139" s="8"/>
      <c r="E139" s="9"/>
      <c r="F139" s="9"/>
      <c r="G139" s="9"/>
    </row>
    <row r="140" customFormat="false" ht="15" hidden="false" customHeight="true" outlineLevel="0" collapsed="false">
      <c r="A140" s="8"/>
      <c r="B140" s="9"/>
      <c r="C140" s="9"/>
      <c r="D140" s="8"/>
      <c r="E140" s="9"/>
      <c r="F140" s="9"/>
      <c r="G140" s="9"/>
    </row>
    <row r="141" customFormat="false" ht="15" hidden="false" customHeight="true" outlineLevel="0" collapsed="false">
      <c r="A141" s="8"/>
      <c r="B141" s="9"/>
      <c r="C141" s="9"/>
      <c r="D141" s="8"/>
      <c r="E141" s="9"/>
      <c r="F141" s="9"/>
      <c r="G141" s="9"/>
    </row>
    <row r="142" customFormat="false" ht="15" hidden="false" customHeight="true" outlineLevel="0" collapsed="false">
      <c r="A142" s="8"/>
      <c r="B142" s="9"/>
      <c r="C142" s="9"/>
      <c r="D142" s="8"/>
      <c r="E142" s="9"/>
      <c r="F142" s="9"/>
      <c r="G142" s="9"/>
    </row>
    <row r="143" customFormat="false" ht="15" hidden="false" customHeight="true" outlineLevel="0" collapsed="false">
      <c r="A143" s="8"/>
      <c r="B143" s="9"/>
      <c r="C143" s="9"/>
      <c r="D143" s="8"/>
      <c r="E143" s="9"/>
      <c r="F143" s="9"/>
      <c r="G143" s="9"/>
    </row>
    <row r="144" customFormat="false" ht="15" hidden="false" customHeight="true" outlineLevel="0" collapsed="false">
      <c r="A144" s="8"/>
      <c r="B144" s="9"/>
      <c r="C144" s="9"/>
      <c r="D144" s="8"/>
      <c r="E144" s="9"/>
      <c r="F144" s="9"/>
      <c r="G144" s="9"/>
    </row>
    <row r="145" customFormat="false" ht="15" hidden="false" customHeight="true" outlineLevel="0" collapsed="false">
      <c r="A145" s="8"/>
      <c r="B145" s="9"/>
      <c r="C145" s="9"/>
      <c r="D145" s="8"/>
      <c r="E145" s="9"/>
      <c r="F145" s="9"/>
      <c r="G145" s="9"/>
    </row>
    <row r="146" customFormat="false" ht="15" hidden="false" customHeight="true" outlineLevel="0" collapsed="false">
      <c r="A146" s="8"/>
      <c r="B146" s="9"/>
      <c r="C146" s="9"/>
      <c r="D146" s="8"/>
      <c r="E146" s="9"/>
      <c r="F146" s="9"/>
      <c r="G146" s="9"/>
    </row>
    <row r="147" customFormat="false" ht="15" hidden="false" customHeight="true" outlineLevel="0" collapsed="false">
      <c r="A147" s="8"/>
      <c r="B147" s="9"/>
      <c r="C147" s="9"/>
      <c r="D147" s="8"/>
      <c r="E147" s="9"/>
      <c r="F147" s="9"/>
      <c r="G147" s="9"/>
    </row>
    <row r="148" customFormat="false" ht="15" hidden="false" customHeight="true" outlineLevel="0" collapsed="false">
      <c r="A148" s="8"/>
      <c r="B148" s="9"/>
      <c r="C148" s="9"/>
      <c r="D148" s="8"/>
      <c r="E148" s="9"/>
      <c r="F148" s="9"/>
      <c r="G148" s="9"/>
    </row>
    <row r="149" customFormat="false" ht="15" hidden="false" customHeight="true" outlineLevel="0" collapsed="false">
      <c r="A149" s="8"/>
      <c r="B149" s="9"/>
      <c r="C149" s="9"/>
      <c r="D149" s="8"/>
      <c r="E149" s="9"/>
      <c r="F149" s="9"/>
      <c r="G149" s="9"/>
    </row>
    <row r="150" customFormat="false" ht="15" hidden="false" customHeight="true" outlineLevel="0" collapsed="false">
      <c r="A150" s="8"/>
      <c r="B150" s="9"/>
      <c r="C150" s="9"/>
      <c r="D150" s="8"/>
      <c r="E150" s="9"/>
      <c r="F150" s="9"/>
      <c r="G150" s="9"/>
    </row>
    <row r="151" customFormat="false" ht="15" hidden="false" customHeight="true" outlineLevel="0" collapsed="false">
      <c r="A151" s="8"/>
      <c r="B151" s="9"/>
      <c r="C151" s="9"/>
      <c r="D151" s="8"/>
      <c r="E151" s="9"/>
      <c r="F151" s="9"/>
      <c r="G151" s="9"/>
    </row>
    <row r="152" customFormat="false" ht="15" hidden="false" customHeight="true" outlineLevel="0" collapsed="false">
      <c r="A152" s="8"/>
      <c r="B152" s="9"/>
      <c r="C152" s="9"/>
      <c r="D152" s="8"/>
      <c r="E152" s="9"/>
      <c r="F152" s="9"/>
      <c r="G152" s="9"/>
    </row>
    <row r="153" customFormat="false" ht="15" hidden="false" customHeight="true" outlineLevel="0" collapsed="false">
      <c r="A153" s="8"/>
      <c r="B153" s="9"/>
      <c r="C153" s="9"/>
      <c r="D153" s="8"/>
      <c r="E153" s="9"/>
      <c r="F153" s="9"/>
      <c r="G153" s="9"/>
    </row>
    <row r="154" customFormat="false" ht="15" hidden="false" customHeight="true" outlineLevel="0" collapsed="false">
      <c r="A154" s="8"/>
      <c r="B154" s="9"/>
      <c r="C154" s="9"/>
      <c r="D154" s="8"/>
      <c r="E154" s="9"/>
      <c r="F154" s="9"/>
      <c r="G154" s="9"/>
    </row>
    <row r="155" customFormat="false" ht="15" hidden="false" customHeight="true" outlineLevel="0" collapsed="false">
      <c r="A155" s="8"/>
      <c r="B155" s="9"/>
      <c r="C155" s="9"/>
      <c r="D155" s="8"/>
      <c r="E155" s="9"/>
      <c r="F155" s="9"/>
      <c r="G155" s="9"/>
    </row>
    <row r="156" customFormat="false" ht="15" hidden="false" customHeight="true" outlineLevel="0" collapsed="false">
      <c r="A156" s="8"/>
      <c r="B156" s="9"/>
      <c r="C156" s="9"/>
      <c r="D156" s="8"/>
      <c r="E156" s="9"/>
      <c r="F156" s="9"/>
      <c r="G156" s="9"/>
    </row>
    <row r="157" customFormat="false" ht="15" hidden="false" customHeight="true" outlineLevel="0" collapsed="false">
      <c r="A157" s="8"/>
      <c r="B157" s="9"/>
      <c r="C157" s="9"/>
      <c r="D157" s="8"/>
      <c r="E157" s="9"/>
      <c r="F157" s="9"/>
      <c r="G157" s="9"/>
    </row>
    <row r="158" customFormat="false" ht="15" hidden="false" customHeight="true" outlineLevel="0" collapsed="false">
      <c r="A158" s="8"/>
      <c r="B158" s="9"/>
      <c r="C158" s="9"/>
      <c r="D158" s="8"/>
      <c r="E158" s="9"/>
      <c r="F158" s="9"/>
      <c r="G158" s="9"/>
    </row>
    <row r="159" customFormat="false" ht="15" hidden="false" customHeight="true" outlineLevel="0" collapsed="false">
      <c r="A159" s="8"/>
      <c r="B159" s="9"/>
      <c r="C159" s="9"/>
      <c r="D159" s="8"/>
      <c r="E159" s="9"/>
      <c r="F159" s="9"/>
      <c r="G159" s="9"/>
    </row>
    <row r="160" customFormat="false" ht="15" hidden="false" customHeight="true" outlineLevel="0" collapsed="false">
      <c r="A160" s="8"/>
      <c r="B160" s="9"/>
      <c r="C160" s="9"/>
      <c r="D160" s="8"/>
      <c r="E160" s="9"/>
      <c r="F160" s="9"/>
      <c r="G160" s="9"/>
    </row>
    <row r="161" customFormat="false" ht="15" hidden="false" customHeight="true" outlineLevel="0" collapsed="false">
      <c r="A161" s="8"/>
      <c r="B161" s="9"/>
      <c r="C161" s="9"/>
      <c r="D161" s="8"/>
      <c r="E161" s="9"/>
      <c r="F161" s="9"/>
      <c r="G161" s="9"/>
    </row>
    <row r="162" customFormat="false" ht="15" hidden="false" customHeight="true" outlineLevel="0" collapsed="false">
      <c r="A162" s="8"/>
      <c r="B162" s="9"/>
      <c r="C162" s="9"/>
      <c r="D162" s="8"/>
      <c r="E162" s="9"/>
      <c r="F162" s="9"/>
      <c r="G162" s="9"/>
    </row>
    <row r="163" customFormat="false" ht="15" hidden="false" customHeight="true" outlineLevel="0" collapsed="false">
      <c r="A163" s="8"/>
      <c r="B163" s="9"/>
      <c r="C163" s="9"/>
      <c r="D163" s="8"/>
      <c r="E163" s="9"/>
      <c r="F163" s="9"/>
      <c r="G163" s="9"/>
    </row>
    <row r="164" customFormat="false" ht="15" hidden="false" customHeight="true" outlineLevel="0" collapsed="false">
      <c r="A164" s="8"/>
      <c r="B164" s="9"/>
      <c r="C164" s="9"/>
      <c r="D164" s="8"/>
      <c r="E164" s="9"/>
      <c r="F164" s="9"/>
      <c r="G164" s="9"/>
    </row>
    <row r="165" customFormat="false" ht="15" hidden="false" customHeight="true" outlineLevel="0" collapsed="false">
      <c r="A165" s="8"/>
      <c r="B165" s="9"/>
      <c r="C165" s="9"/>
      <c r="D165" s="8"/>
      <c r="E165" s="9"/>
      <c r="F165" s="9"/>
      <c r="G165" s="9"/>
    </row>
    <row r="166" customFormat="false" ht="15" hidden="false" customHeight="true" outlineLevel="0" collapsed="false">
      <c r="A166" s="8"/>
      <c r="B166" s="9"/>
      <c r="C166" s="9"/>
      <c r="D166" s="8"/>
      <c r="E166" s="9"/>
      <c r="F166" s="9"/>
      <c r="G166" s="9"/>
    </row>
    <row r="167" customFormat="false" ht="15" hidden="false" customHeight="true" outlineLevel="0" collapsed="false">
      <c r="A167" s="8"/>
      <c r="B167" s="9"/>
      <c r="C167" s="9"/>
      <c r="D167" s="8"/>
      <c r="E167" s="9"/>
      <c r="F167" s="9"/>
      <c r="G167" s="9"/>
    </row>
    <row r="168" customFormat="false" ht="15" hidden="false" customHeight="true" outlineLevel="0" collapsed="false">
      <c r="A168" s="8"/>
      <c r="B168" s="9"/>
      <c r="C168" s="9"/>
      <c r="D168" s="8"/>
      <c r="E168" s="9"/>
      <c r="F168" s="9"/>
      <c r="G168" s="9"/>
    </row>
    <row r="169" customFormat="false" ht="15" hidden="false" customHeight="true" outlineLevel="0" collapsed="false">
      <c r="A169" s="8"/>
      <c r="B169" s="9"/>
      <c r="C169" s="9"/>
      <c r="D169" s="8"/>
      <c r="E169" s="9"/>
      <c r="F169" s="9"/>
      <c r="G169" s="9"/>
    </row>
    <row r="170" customFormat="false" ht="15" hidden="false" customHeight="true" outlineLevel="0" collapsed="false">
      <c r="A170" s="8"/>
      <c r="B170" s="9"/>
      <c r="C170" s="9"/>
      <c r="D170" s="8"/>
      <c r="E170" s="9"/>
      <c r="F170" s="9"/>
      <c r="G170" s="9"/>
    </row>
    <row r="171" customFormat="false" ht="15" hidden="false" customHeight="true" outlineLevel="0" collapsed="false">
      <c r="A171" s="8"/>
      <c r="B171" s="9"/>
      <c r="C171" s="9"/>
      <c r="D171" s="8"/>
      <c r="E171" s="9"/>
      <c r="F171" s="9"/>
      <c r="G171" s="9"/>
    </row>
    <row r="172" customFormat="false" ht="15" hidden="false" customHeight="true" outlineLevel="0" collapsed="false">
      <c r="A172" s="8"/>
      <c r="B172" s="9"/>
      <c r="C172" s="9"/>
      <c r="D172" s="8"/>
      <c r="E172" s="9"/>
      <c r="F172" s="9"/>
      <c r="G172" s="9"/>
    </row>
    <row r="173" customFormat="false" ht="15" hidden="false" customHeight="true" outlineLevel="0" collapsed="false">
      <c r="A173" s="8"/>
      <c r="B173" s="9"/>
      <c r="C173" s="9"/>
      <c r="D173" s="8"/>
      <c r="E173" s="9"/>
      <c r="F173" s="9"/>
      <c r="G173" s="9"/>
    </row>
    <row r="174" customFormat="false" ht="15" hidden="false" customHeight="true" outlineLevel="0" collapsed="false">
      <c r="A174" s="8"/>
      <c r="B174" s="9"/>
      <c r="C174" s="9"/>
      <c r="D174" s="8"/>
      <c r="E174" s="9"/>
      <c r="F174" s="9"/>
      <c r="G174" s="9"/>
    </row>
    <row r="175" customFormat="false" ht="15" hidden="false" customHeight="true" outlineLevel="0" collapsed="false">
      <c r="A175" s="8"/>
      <c r="B175" s="9"/>
      <c r="C175" s="9"/>
      <c r="D175" s="8"/>
      <c r="E175" s="9"/>
      <c r="F175" s="9"/>
      <c r="G175" s="9"/>
    </row>
    <row r="176" customFormat="false" ht="15" hidden="false" customHeight="true" outlineLevel="0" collapsed="false">
      <c r="A176" s="8"/>
      <c r="B176" s="9"/>
      <c r="C176" s="9"/>
      <c r="D176" s="8"/>
      <c r="E176" s="9"/>
      <c r="F176" s="9"/>
      <c r="G176" s="9"/>
    </row>
    <row r="177" customFormat="false" ht="15" hidden="false" customHeight="true" outlineLevel="0" collapsed="false">
      <c r="A177" s="8"/>
      <c r="B177" s="9"/>
      <c r="C177" s="9"/>
      <c r="D177" s="8"/>
      <c r="E177" s="9"/>
      <c r="F177" s="9"/>
      <c r="G177" s="9"/>
    </row>
    <row r="178" customFormat="false" ht="15" hidden="false" customHeight="true" outlineLevel="0" collapsed="false">
      <c r="A178" s="8"/>
      <c r="B178" s="9"/>
      <c r="C178" s="9"/>
      <c r="D178" s="8"/>
      <c r="E178" s="9"/>
      <c r="F178" s="9"/>
      <c r="G178" s="9"/>
    </row>
    <row r="179" customFormat="false" ht="15" hidden="false" customHeight="true" outlineLevel="0" collapsed="false">
      <c r="A179" s="8"/>
      <c r="B179" s="9"/>
      <c r="C179" s="9"/>
      <c r="D179" s="8"/>
      <c r="E179" s="9"/>
      <c r="F179" s="9"/>
      <c r="G179" s="9"/>
    </row>
    <row r="180" customFormat="false" ht="15" hidden="false" customHeight="true" outlineLevel="0" collapsed="false">
      <c r="A180" s="8"/>
      <c r="B180" s="9"/>
      <c r="C180" s="9"/>
      <c r="D180" s="8"/>
      <c r="E180" s="9"/>
      <c r="F180" s="9"/>
      <c r="G180" s="9"/>
    </row>
    <row r="181" customFormat="false" ht="15" hidden="false" customHeight="true" outlineLevel="0" collapsed="false">
      <c r="A181" s="8"/>
      <c r="B181" s="9"/>
      <c r="C181" s="9"/>
      <c r="D181" s="8"/>
      <c r="E181" s="9"/>
      <c r="F181" s="9"/>
      <c r="G181" s="9"/>
    </row>
    <row r="182" customFormat="false" ht="15" hidden="false" customHeight="true" outlineLevel="0" collapsed="false">
      <c r="A182" s="8"/>
      <c r="B182" s="9"/>
      <c r="C182" s="9"/>
      <c r="D182" s="8"/>
      <c r="E182" s="9"/>
      <c r="F182" s="9"/>
      <c r="G182" s="9"/>
    </row>
    <row r="183" customFormat="false" ht="15" hidden="false" customHeight="true" outlineLevel="0" collapsed="false">
      <c r="A183" s="8"/>
      <c r="B183" s="9"/>
      <c r="C183" s="9"/>
      <c r="D183" s="8"/>
      <c r="E183" s="9"/>
      <c r="F183" s="9"/>
      <c r="G183" s="9"/>
    </row>
    <row r="184" customFormat="false" ht="15" hidden="false" customHeight="true" outlineLevel="0" collapsed="false">
      <c r="A184" s="8"/>
      <c r="B184" s="9"/>
      <c r="C184" s="9"/>
      <c r="D184" s="8"/>
      <c r="E184" s="9"/>
      <c r="F184" s="9"/>
      <c r="G184" s="9"/>
    </row>
    <row r="185" customFormat="false" ht="15" hidden="false" customHeight="true" outlineLevel="0" collapsed="false">
      <c r="A185" s="8"/>
      <c r="B185" s="9"/>
      <c r="C185" s="9"/>
      <c r="D185" s="8"/>
      <c r="E185" s="9"/>
      <c r="F185" s="9"/>
      <c r="G185" s="9"/>
    </row>
    <row r="186" customFormat="false" ht="15" hidden="false" customHeight="true" outlineLevel="0" collapsed="false">
      <c r="A186" s="8"/>
      <c r="B186" s="9"/>
      <c r="C186" s="9"/>
      <c r="D186" s="8"/>
      <c r="E186" s="9"/>
      <c r="F186" s="9"/>
      <c r="G186" s="9"/>
    </row>
    <row r="187" customFormat="false" ht="15" hidden="false" customHeight="true" outlineLevel="0" collapsed="false">
      <c r="A187" s="8"/>
      <c r="B187" s="9"/>
      <c r="C187" s="9"/>
      <c r="D187" s="8"/>
      <c r="E187" s="9"/>
      <c r="F187" s="9"/>
      <c r="G187" s="9"/>
    </row>
    <row r="188" customFormat="false" ht="15" hidden="false" customHeight="true" outlineLevel="0" collapsed="false">
      <c r="A188" s="8"/>
      <c r="B188" s="9"/>
      <c r="C188" s="9"/>
      <c r="D188" s="8"/>
      <c r="E188" s="9"/>
      <c r="F188" s="9"/>
      <c r="G188" s="9"/>
    </row>
    <row r="189" customFormat="false" ht="15" hidden="false" customHeight="true" outlineLevel="0" collapsed="false">
      <c r="A189" s="8"/>
      <c r="B189" s="9"/>
      <c r="C189" s="9"/>
      <c r="D189" s="8"/>
      <c r="E189" s="9"/>
      <c r="F189" s="9"/>
      <c r="G189" s="9"/>
    </row>
    <row r="190" customFormat="false" ht="15" hidden="false" customHeight="true" outlineLevel="0" collapsed="false">
      <c r="A190" s="8"/>
      <c r="B190" s="9"/>
      <c r="C190" s="9"/>
      <c r="D190" s="8"/>
      <c r="E190" s="9"/>
      <c r="F190" s="9"/>
      <c r="G190" s="9"/>
    </row>
    <row r="191" customFormat="false" ht="15" hidden="false" customHeight="true" outlineLevel="0" collapsed="false">
      <c r="A191" s="8"/>
      <c r="B191" s="9"/>
      <c r="C191" s="9"/>
      <c r="D191" s="8"/>
      <c r="E191" s="9"/>
      <c r="F191" s="9"/>
      <c r="G191" s="9"/>
    </row>
    <row r="192" customFormat="false" ht="15" hidden="false" customHeight="true" outlineLevel="0" collapsed="false">
      <c r="A192" s="8"/>
      <c r="B192" s="9"/>
      <c r="C192" s="9"/>
      <c r="D192" s="8"/>
      <c r="E192" s="9"/>
      <c r="F192" s="9"/>
      <c r="G192" s="9"/>
    </row>
    <row r="193" customFormat="false" ht="15" hidden="false" customHeight="true" outlineLevel="0" collapsed="false">
      <c r="A193" s="8"/>
      <c r="B193" s="9"/>
      <c r="C193" s="9"/>
      <c r="D193" s="8"/>
      <c r="E193" s="9"/>
      <c r="F193" s="9"/>
      <c r="G193" s="9"/>
    </row>
    <row r="194" customFormat="false" ht="15" hidden="false" customHeight="true" outlineLevel="0" collapsed="false">
      <c r="A194" s="8"/>
      <c r="B194" s="9"/>
      <c r="C194" s="9"/>
      <c r="D194" s="8"/>
      <c r="E194" s="9"/>
      <c r="F194" s="9"/>
      <c r="G194" s="9"/>
    </row>
    <row r="195" customFormat="false" ht="15" hidden="false" customHeight="true" outlineLevel="0" collapsed="false">
      <c r="A195" s="8"/>
      <c r="B195" s="9"/>
      <c r="C195" s="9"/>
      <c r="D195" s="8"/>
      <c r="E195" s="9"/>
      <c r="F195" s="9"/>
      <c r="G195" s="9"/>
    </row>
    <row r="196" customFormat="false" ht="15" hidden="false" customHeight="true" outlineLevel="0" collapsed="false">
      <c r="A196" s="8"/>
      <c r="B196" s="9"/>
      <c r="C196" s="9"/>
      <c r="D196" s="8"/>
      <c r="E196" s="9"/>
      <c r="F196" s="9"/>
      <c r="G196" s="9"/>
    </row>
    <row r="197" customFormat="false" ht="15" hidden="false" customHeight="true" outlineLevel="0" collapsed="false">
      <c r="A197" s="8"/>
      <c r="B197" s="9"/>
      <c r="C197" s="9"/>
      <c r="D197" s="8"/>
      <c r="E197" s="9"/>
      <c r="F197" s="9"/>
      <c r="G197" s="9"/>
    </row>
    <row r="198" customFormat="false" ht="15" hidden="false" customHeight="true" outlineLevel="0" collapsed="false">
      <c r="A198" s="8"/>
      <c r="B198" s="9"/>
      <c r="C198" s="9"/>
      <c r="D198" s="8"/>
      <c r="E198" s="9"/>
      <c r="F198" s="9"/>
      <c r="G198" s="9"/>
    </row>
    <row r="199" customFormat="false" ht="15" hidden="false" customHeight="true" outlineLevel="0" collapsed="false">
      <c r="A199" s="8"/>
      <c r="B199" s="9"/>
      <c r="C199" s="9"/>
      <c r="D199" s="8"/>
      <c r="E199" s="9"/>
      <c r="F199" s="9"/>
      <c r="G199" s="9"/>
    </row>
    <row r="200" customFormat="false" ht="15" hidden="false" customHeight="true" outlineLevel="0" collapsed="false">
      <c r="A200" s="8"/>
      <c r="B200" s="9"/>
      <c r="C200" s="9"/>
      <c r="D200" s="8"/>
      <c r="E200" s="9"/>
      <c r="F200" s="9"/>
      <c r="G200" s="9"/>
    </row>
    <row r="201" customFormat="false" ht="15" hidden="false" customHeight="true" outlineLevel="0" collapsed="false">
      <c r="A201" s="8"/>
      <c r="B201" s="9"/>
      <c r="C201" s="9"/>
      <c r="D201" s="8"/>
      <c r="E201" s="9"/>
      <c r="F201" s="9"/>
      <c r="G201" s="9"/>
    </row>
    <row r="202" customFormat="false" ht="15" hidden="false" customHeight="true" outlineLevel="0" collapsed="false">
      <c r="A202" s="8"/>
      <c r="B202" s="9"/>
      <c r="C202" s="9"/>
      <c r="D202" s="8"/>
      <c r="E202" s="9"/>
      <c r="F202" s="9"/>
      <c r="G202" s="9"/>
    </row>
    <row r="203" customFormat="false" ht="15" hidden="false" customHeight="true" outlineLevel="0" collapsed="false">
      <c r="A203" s="8"/>
      <c r="B203" s="9"/>
      <c r="C203" s="9"/>
      <c r="D203" s="8"/>
      <c r="E203" s="9"/>
      <c r="F203" s="9"/>
      <c r="G203" s="9"/>
    </row>
    <row r="204" customFormat="false" ht="15" hidden="false" customHeight="true" outlineLevel="0" collapsed="false">
      <c r="A204" s="8"/>
      <c r="B204" s="9"/>
      <c r="C204" s="9"/>
      <c r="D204" s="8"/>
      <c r="E204" s="9"/>
      <c r="F204" s="9"/>
      <c r="G204" s="9"/>
    </row>
    <row r="205" customFormat="false" ht="15" hidden="false" customHeight="true" outlineLevel="0" collapsed="false">
      <c r="A205" s="8"/>
      <c r="B205" s="9"/>
      <c r="C205" s="9"/>
      <c r="D205" s="8"/>
      <c r="E205" s="9"/>
      <c r="F205" s="9"/>
      <c r="G205" s="9"/>
    </row>
    <row r="206" customFormat="false" ht="15" hidden="false" customHeight="true" outlineLevel="0" collapsed="false">
      <c r="A206" s="8"/>
      <c r="B206" s="9"/>
      <c r="C206" s="9"/>
      <c r="D206" s="8"/>
      <c r="E206" s="9"/>
      <c r="F206" s="9"/>
      <c r="G206" s="9"/>
    </row>
    <row r="207" customFormat="false" ht="15" hidden="false" customHeight="true" outlineLevel="0" collapsed="false">
      <c r="A207" s="8"/>
      <c r="B207" s="9"/>
      <c r="C207" s="9"/>
      <c r="D207" s="8"/>
      <c r="E207" s="9"/>
      <c r="F207" s="9"/>
      <c r="G207" s="9"/>
    </row>
    <row r="208" customFormat="false" ht="15" hidden="false" customHeight="true" outlineLevel="0" collapsed="false">
      <c r="A208" s="8"/>
      <c r="B208" s="9"/>
      <c r="C208" s="9"/>
      <c r="D208" s="8"/>
      <c r="E208" s="9"/>
      <c r="F208" s="9"/>
      <c r="G208" s="9"/>
    </row>
    <row r="209" customFormat="false" ht="15" hidden="false" customHeight="true" outlineLevel="0" collapsed="false">
      <c r="A209" s="8"/>
      <c r="B209" s="9"/>
      <c r="C209" s="9"/>
      <c r="D209" s="8"/>
      <c r="E209" s="9"/>
      <c r="F209" s="9"/>
      <c r="G209" s="9"/>
    </row>
    <row r="210" customFormat="false" ht="15" hidden="false" customHeight="true" outlineLevel="0" collapsed="false">
      <c r="A210" s="8"/>
      <c r="B210" s="9"/>
      <c r="C210" s="9"/>
      <c r="D210" s="8"/>
      <c r="E210" s="9"/>
      <c r="F210" s="9"/>
      <c r="G210" s="9"/>
    </row>
    <row r="211" customFormat="false" ht="15" hidden="false" customHeight="true" outlineLevel="0" collapsed="false">
      <c r="A211" s="8"/>
      <c r="B211" s="9"/>
      <c r="C211" s="9"/>
      <c r="D211" s="8"/>
      <c r="E211" s="9"/>
      <c r="F211" s="9"/>
      <c r="G211" s="9"/>
    </row>
    <row r="212" customFormat="false" ht="15" hidden="false" customHeight="true" outlineLevel="0" collapsed="false">
      <c r="A212" s="8"/>
      <c r="B212" s="9"/>
      <c r="C212" s="9"/>
      <c r="D212" s="8"/>
      <c r="E212" s="9"/>
      <c r="F212" s="9"/>
      <c r="G212" s="9"/>
    </row>
    <row r="213" customFormat="false" ht="15" hidden="false" customHeight="true" outlineLevel="0" collapsed="false">
      <c r="A213" s="8"/>
      <c r="B213" s="9"/>
      <c r="C213" s="9"/>
      <c r="D213" s="8"/>
      <c r="E213" s="9"/>
      <c r="F213" s="9"/>
      <c r="G213" s="9"/>
    </row>
    <row r="214" customFormat="false" ht="15" hidden="false" customHeight="true" outlineLevel="0" collapsed="false">
      <c r="A214" s="8"/>
      <c r="B214" s="9"/>
      <c r="C214" s="9"/>
      <c r="D214" s="8"/>
      <c r="E214" s="9"/>
      <c r="F214" s="9"/>
      <c r="G214" s="9"/>
    </row>
    <row r="215" customFormat="false" ht="15" hidden="false" customHeight="true" outlineLevel="0" collapsed="false">
      <c r="A215" s="8"/>
      <c r="B215" s="9"/>
      <c r="C215" s="9"/>
      <c r="D215" s="8"/>
      <c r="E215" s="9"/>
      <c r="F215" s="9"/>
      <c r="G215" s="9"/>
    </row>
    <row r="216" customFormat="false" ht="15" hidden="false" customHeight="true" outlineLevel="0" collapsed="false">
      <c r="A216" s="8"/>
      <c r="B216" s="9"/>
      <c r="C216" s="9"/>
      <c r="D216" s="8"/>
      <c r="E216" s="9"/>
      <c r="F216" s="9"/>
      <c r="G216" s="9"/>
    </row>
    <row r="217" customFormat="false" ht="15" hidden="false" customHeight="true" outlineLevel="0" collapsed="false">
      <c r="A217" s="8"/>
      <c r="B217" s="9"/>
      <c r="C217" s="9"/>
      <c r="D217" s="8"/>
      <c r="E217" s="9"/>
      <c r="F217" s="9"/>
      <c r="G217" s="9"/>
    </row>
    <row r="218" customFormat="false" ht="15" hidden="false" customHeight="true" outlineLevel="0" collapsed="false">
      <c r="A218" s="8"/>
      <c r="B218" s="9"/>
      <c r="C218" s="9"/>
      <c r="D218" s="8"/>
      <c r="E218" s="9"/>
      <c r="F218" s="9"/>
      <c r="G218" s="9"/>
    </row>
    <row r="219" customFormat="false" ht="15" hidden="false" customHeight="true" outlineLevel="0" collapsed="false">
      <c r="A219" s="8"/>
      <c r="B219" s="9"/>
      <c r="C219" s="9"/>
      <c r="D219" s="8"/>
      <c r="E219" s="9"/>
      <c r="F219" s="9"/>
      <c r="G219" s="9"/>
    </row>
    <row r="220" customFormat="false" ht="15" hidden="false" customHeight="true" outlineLevel="0" collapsed="false">
      <c r="A220" s="8"/>
      <c r="B220" s="9"/>
      <c r="C220" s="9"/>
      <c r="D220" s="8"/>
      <c r="E220" s="9"/>
      <c r="F220" s="9"/>
      <c r="G220" s="9"/>
    </row>
    <row r="221" customFormat="false" ht="15" hidden="false" customHeight="true" outlineLevel="0" collapsed="false">
      <c r="A221" s="8"/>
      <c r="B221" s="9"/>
      <c r="C221" s="9"/>
      <c r="D221" s="8"/>
      <c r="E221" s="9"/>
      <c r="F221" s="9"/>
      <c r="G221" s="9"/>
    </row>
    <row r="222" customFormat="false" ht="15" hidden="false" customHeight="true" outlineLevel="0" collapsed="false">
      <c r="A222" s="8"/>
      <c r="B222" s="9"/>
      <c r="C222" s="9"/>
      <c r="D222" s="8"/>
      <c r="E222" s="9"/>
      <c r="F222" s="9"/>
      <c r="G222" s="9"/>
    </row>
    <row r="223" customFormat="false" ht="15" hidden="false" customHeight="true" outlineLevel="0" collapsed="false">
      <c r="A223" s="8"/>
      <c r="B223" s="9"/>
      <c r="C223" s="9"/>
      <c r="D223" s="8"/>
      <c r="E223" s="9"/>
      <c r="F223" s="9"/>
      <c r="G223" s="9"/>
    </row>
    <row r="224" customFormat="false" ht="15" hidden="false" customHeight="true" outlineLevel="0" collapsed="false">
      <c r="A224" s="8"/>
      <c r="B224" s="9"/>
      <c r="C224" s="9"/>
      <c r="D224" s="8"/>
      <c r="E224" s="9"/>
      <c r="F224" s="9"/>
      <c r="G224" s="9"/>
    </row>
    <row r="225" customFormat="false" ht="15" hidden="false" customHeight="true" outlineLevel="0" collapsed="false">
      <c r="A225" s="8"/>
      <c r="B225" s="9"/>
      <c r="C225" s="9"/>
      <c r="D225" s="8"/>
      <c r="E225" s="9"/>
      <c r="F225" s="9"/>
      <c r="G225" s="9"/>
    </row>
    <row r="226" customFormat="false" ht="15" hidden="false" customHeight="true" outlineLevel="0" collapsed="false">
      <c r="A226" s="8"/>
      <c r="B226" s="9"/>
      <c r="C226" s="9"/>
      <c r="D226" s="8"/>
      <c r="E226" s="9"/>
      <c r="F226" s="9"/>
      <c r="G226" s="9"/>
    </row>
    <row r="227" customFormat="false" ht="15" hidden="false" customHeight="true" outlineLevel="0" collapsed="false">
      <c r="A227" s="8"/>
      <c r="B227" s="9"/>
      <c r="C227" s="9"/>
      <c r="D227" s="8"/>
      <c r="E227" s="9"/>
      <c r="F227" s="9"/>
      <c r="G227" s="9"/>
    </row>
    <row r="228" customFormat="false" ht="15" hidden="false" customHeight="true" outlineLevel="0" collapsed="false">
      <c r="A228" s="8"/>
      <c r="B228" s="9"/>
      <c r="C228" s="9"/>
      <c r="D228" s="8"/>
      <c r="E228" s="9"/>
      <c r="F228" s="9"/>
      <c r="G228" s="9"/>
    </row>
    <row r="229" customFormat="false" ht="15" hidden="false" customHeight="true" outlineLevel="0" collapsed="false">
      <c r="A229" s="8"/>
      <c r="B229" s="9"/>
      <c r="C229" s="9"/>
      <c r="D229" s="8"/>
      <c r="E229" s="9"/>
      <c r="F229" s="9"/>
      <c r="G229" s="9"/>
    </row>
    <row r="230" customFormat="false" ht="15" hidden="false" customHeight="true" outlineLevel="0" collapsed="false">
      <c r="A230" s="8"/>
      <c r="B230" s="9"/>
      <c r="C230" s="9"/>
      <c r="D230" s="8"/>
      <c r="E230" s="9"/>
      <c r="F230" s="9"/>
      <c r="G230" s="9"/>
    </row>
    <row r="231" customFormat="false" ht="15" hidden="false" customHeight="true" outlineLevel="0" collapsed="false">
      <c r="A231" s="8"/>
      <c r="B231" s="9"/>
      <c r="C231" s="9"/>
      <c r="D231" s="8"/>
      <c r="E231" s="9"/>
      <c r="F231" s="9"/>
      <c r="G231" s="9"/>
    </row>
    <row r="232" customFormat="false" ht="15" hidden="false" customHeight="true" outlineLevel="0" collapsed="false">
      <c r="A232" s="8"/>
      <c r="B232" s="9"/>
      <c r="C232" s="9"/>
      <c r="D232" s="8"/>
      <c r="E232" s="9"/>
      <c r="F232" s="9"/>
      <c r="G232" s="9"/>
    </row>
    <row r="233" customFormat="false" ht="15" hidden="false" customHeight="true" outlineLevel="0" collapsed="false">
      <c r="A233" s="8"/>
      <c r="B233" s="9"/>
      <c r="C233" s="9"/>
      <c r="D233" s="8"/>
      <c r="E233" s="9"/>
      <c r="F233" s="9"/>
      <c r="G233" s="9"/>
    </row>
    <row r="234" customFormat="false" ht="15" hidden="false" customHeight="true" outlineLevel="0" collapsed="false">
      <c r="A234" s="8"/>
      <c r="B234" s="9"/>
      <c r="C234" s="9"/>
      <c r="D234" s="8"/>
      <c r="E234" s="9"/>
      <c r="F234" s="9"/>
      <c r="G234" s="9"/>
    </row>
    <row r="235" customFormat="false" ht="15" hidden="false" customHeight="true" outlineLevel="0" collapsed="false">
      <c r="A235" s="8"/>
      <c r="B235" s="9"/>
      <c r="C235" s="9"/>
      <c r="D235" s="8"/>
      <c r="E235" s="9"/>
      <c r="F235" s="9"/>
      <c r="G235" s="9"/>
    </row>
    <row r="236" customFormat="false" ht="15" hidden="false" customHeight="true" outlineLevel="0" collapsed="false">
      <c r="A236" s="8"/>
      <c r="B236" s="9"/>
      <c r="C236" s="9"/>
      <c r="D236" s="8"/>
      <c r="E236" s="9"/>
      <c r="F236" s="9"/>
      <c r="G236" s="9"/>
    </row>
    <row r="237" customFormat="false" ht="15" hidden="false" customHeight="true" outlineLevel="0" collapsed="false">
      <c r="A237" s="8"/>
      <c r="B237" s="9"/>
      <c r="C237" s="9"/>
      <c r="D237" s="8"/>
      <c r="E237" s="9"/>
      <c r="F237" s="9"/>
      <c r="G237" s="9"/>
    </row>
    <row r="238" customFormat="false" ht="15" hidden="false" customHeight="true" outlineLevel="0" collapsed="false">
      <c r="A238" s="8"/>
      <c r="B238" s="9"/>
      <c r="C238" s="9"/>
      <c r="D238" s="8"/>
      <c r="E238" s="9"/>
      <c r="F238" s="9"/>
      <c r="G238" s="9"/>
    </row>
    <row r="239" customFormat="false" ht="15" hidden="false" customHeight="true" outlineLevel="0" collapsed="false">
      <c r="A239" s="8"/>
      <c r="B239" s="9"/>
      <c r="C239" s="9"/>
      <c r="D239" s="8"/>
      <c r="E239" s="9"/>
      <c r="F239" s="9"/>
      <c r="G239" s="9"/>
    </row>
    <row r="240" customFormat="false" ht="15" hidden="false" customHeight="true" outlineLevel="0" collapsed="false">
      <c r="A240" s="8"/>
      <c r="B240" s="9"/>
      <c r="C240" s="9"/>
      <c r="D240" s="8"/>
      <c r="E240" s="9"/>
      <c r="F240" s="9"/>
      <c r="G240" s="9"/>
    </row>
    <row r="241" customFormat="false" ht="15" hidden="false" customHeight="true" outlineLevel="0" collapsed="false">
      <c r="A241" s="8"/>
      <c r="B241" s="9"/>
      <c r="C241" s="9"/>
      <c r="D241" s="8"/>
      <c r="E241" s="9"/>
      <c r="F241" s="9"/>
      <c r="G241" s="9"/>
    </row>
    <row r="242" customFormat="false" ht="15" hidden="false" customHeight="true" outlineLevel="0" collapsed="false">
      <c r="A242" s="8"/>
      <c r="B242" s="9"/>
      <c r="C242" s="9"/>
      <c r="D242" s="8"/>
      <c r="E242" s="9"/>
      <c r="F242" s="9"/>
      <c r="G242" s="9"/>
    </row>
    <row r="243" customFormat="false" ht="15" hidden="false" customHeight="true" outlineLevel="0" collapsed="false">
      <c r="A243" s="8"/>
      <c r="B243" s="9"/>
      <c r="C243" s="9"/>
      <c r="D243" s="8"/>
      <c r="E243" s="9"/>
      <c r="F243" s="9"/>
      <c r="G243" s="9"/>
    </row>
    <row r="244" customFormat="false" ht="15" hidden="false" customHeight="true" outlineLevel="0" collapsed="false">
      <c r="A244" s="8"/>
      <c r="B244" s="9"/>
      <c r="C244" s="9"/>
      <c r="D244" s="8"/>
      <c r="E244" s="9"/>
      <c r="F244" s="9"/>
      <c r="G244" s="9"/>
    </row>
    <row r="245" customFormat="false" ht="15" hidden="false" customHeight="true" outlineLevel="0" collapsed="false">
      <c r="A245" s="8"/>
      <c r="B245" s="9"/>
      <c r="C245" s="9"/>
      <c r="D245" s="8"/>
      <c r="E245" s="9"/>
      <c r="F245" s="9"/>
      <c r="G245" s="9"/>
    </row>
    <row r="246" customFormat="false" ht="15" hidden="false" customHeight="true" outlineLevel="0" collapsed="false">
      <c r="A246" s="8"/>
      <c r="B246" s="9"/>
      <c r="C246" s="9"/>
      <c r="D246" s="8"/>
      <c r="E246" s="9"/>
      <c r="F246" s="9"/>
      <c r="G246" s="9"/>
    </row>
    <row r="247" customFormat="false" ht="15" hidden="false" customHeight="true" outlineLevel="0" collapsed="false">
      <c r="A247" s="8"/>
      <c r="B247" s="9"/>
      <c r="C247" s="9"/>
      <c r="D247" s="8"/>
      <c r="E247" s="9"/>
      <c r="F247" s="9"/>
      <c r="G247" s="9"/>
    </row>
    <row r="248" customFormat="false" ht="15" hidden="false" customHeight="true" outlineLevel="0" collapsed="false">
      <c r="A248" s="8"/>
      <c r="B248" s="9"/>
      <c r="C248" s="9"/>
      <c r="D248" s="8"/>
      <c r="E248" s="9"/>
      <c r="F248" s="9"/>
      <c r="G248" s="9"/>
    </row>
    <row r="249" customFormat="false" ht="15" hidden="false" customHeight="true" outlineLevel="0" collapsed="false">
      <c r="A249" s="8"/>
      <c r="B249" s="9"/>
      <c r="C249" s="9"/>
      <c r="D249" s="8"/>
      <c r="E249" s="9"/>
      <c r="F249" s="9"/>
      <c r="G249" s="9"/>
    </row>
    <row r="250" customFormat="false" ht="15" hidden="false" customHeight="true" outlineLevel="0" collapsed="false">
      <c r="A250" s="8"/>
      <c r="B250" s="9"/>
      <c r="C250" s="9"/>
      <c r="D250" s="8"/>
      <c r="E250" s="9"/>
      <c r="F250" s="9"/>
      <c r="G250" s="9"/>
    </row>
    <row r="251" customFormat="false" ht="15" hidden="false" customHeight="true" outlineLevel="0" collapsed="false">
      <c r="A251" s="8"/>
      <c r="B251" s="9"/>
      <c r="C251" s="9"/>
      <c r="D251" s="8"/>
      <c r="E251" s="9"/>
      <c r="F251" s="9"/>
      <c r="G251" s="9"/>
    </row>
    <row r="252" customFormat="false" ht="15" hidden="false" customHeight="true" outlineLevel="0" collapsed="false">
      <c r="A252" s="8"/>
      <c r="B252" s="9"/>
      <c r="C252" s="9"/>
      <c r="D252" s="8"/>
      <c r="E252" s="9"/>
      <c r="F252" s="9"/>
      <c r="G252" s="9"/>
    </row>
    <row r="253" customFormat="false" ht="15" hidden="false" customHeight="true" outlineLevel="0" collapsed="false">
      <c r="A253" s="8"/>
      <c r="B253" s="9"/>
      <c r="C253" s="9"/>
      <c r="D253" s="8"/>
      <c r="E253" s="9"/>
      <c r="F253" s="9"/>
      <c r="G253" s="9"/>
    </row>
    <row r="254" customFormat="false" ht="15" hidden="false" customHeight="true" outlineLevel="0" collapsed="false">
      <c r="A254" s="8"/>
      <c r="B254" s="9"/>
      <c r="C254" s="9"/>
      <c r="D254" s="8"/>
      <c r="E254" s="9"/>
      <c r="F254" s="9"/>
      <c r="G254" s="9"/>
    </row>
    <row r="255" customFormat="false" ht="15" hidden="false" customHeight="true" outlineLevel="0" collapsed="false">
      <c r="A255" s="8"/>
      <c r="B255" s="9"/>
      <c r="C255" s="9"/>
      <c r="D255" s="8"/>
      <c r="E255" s="9"/>
      <c r="F255" s="9"/>
      <c r="G255" s="9"/>
    </row>
    <row r="256" customFormat="false" ht="15" hidden="false" customHeight="true" outlineLevel="0" collapsed="false">
      <c r="A256" s="8"/>
      <c r="B256" s="9"/>
      <c r="C256" s="9"/>
      <c r="D256" s="8"/>
      <c r="E256" s="9"/>
      <c r="F256" s="9"/>
      <c r="G256" s="9"/>
    </row>
    <row r="257" customFormat="false" ht="15" hidden="false" customHeight="true" outlineLevel="0" collapsed="false">
      <c r="A257" s="8"/>
      <c r="B257" s="9"/>
      <c r="C257" s="9"/>
      <c r="D257" s="8"/>
      <c r="E257" s="9"/>
      <c r="F257" s="9"/>
      <c r="G257" s="9"/>
    </row>
    <row r="258" customFormat="false" ht="15" hidden="false" customHeight="true" outlineLevel="0" collapsed="false">
      <c r="A258" s="8"/>
      <c r="B258" s="9"/>
      <c r="C258" s="9"/>
      <c r="D258" s="8"/>
      <c r="E258" s="9"/>
      <c r="F258" s="9"/>
      <c r="G258" s="9"/>
    </row>
    <row r="259" customFormat="false" ht="15" hidden="false" customHeight="true" outlineLevel="0" collapsed="false">
      <c r="A259" s="8"/>
      <c r="B259" s="9"/>
      <c r="C259" s="9"/>
      <c r="D259" s="8"/>
      <c r="E259" s="9"/>
      <c r="F259" s="9"/>
      <c r="G259" s="9"/>
    </row>
    <row r="260" customFormat="false" ht="15" hidden="false" customHeight="true" outlineLevel="0" collapsed="false">
      <c r="A260" s="8"/>
      <c r="B260" s="9"/>
      <c r="C260" s="9"/>
      <c r="D260" s="8"/>
      <c r="E260" s="9"/>
      <c r="F260" s="9"/>
      <c r="G260" s="9"/>
    </row>
    <row r="261" customFormat="false" ht="15" hidden="false" customHeight="true" outlineLevel="0" collapsed="false">
      <c r="A261" s="8"/>
      <c r="B261" s="9"/>
      <c r="C261" s="9"/>
      <c r="D261" s="8"/>
      <c r="E261" s="9"/>
      <c r="F261" s="9"/>
      <c r="G261" s="9"/>
    </row>
    <row r="262" customFormat="false" ht="15" hidden="false" customHeight="true" outlineLevel="0" collapsed="false">
      <c r="A262" s="8"/>
      <c r="B262" s="9"/>
      <c r="C262" s="9"/>
      <c r="D262" s="8"/>
      <c r="E262" s="9"/>
      <c r="F262" s="9"/>
      <c r="G262" s="9"/>
    </row>
    <row r="263" customFormat="false" ht="15" hidden="false" customHeight="true" outlineLevel="0" collapsed="false">
      <c r="A263" s="8"/>
      <c r="B263" s="9"/>
      <c r="C263" s="9"/>
      <c r="D263" s="8"/>
      <c r="E263" s="9"/>
      <c r="F263" s="9"/>
      <c r="G263" s="9"/>
    </row>
    <row r="264" customFormat="false" ht="15" hidden="false" customHeight="true" outlineLevel="0" collapsed="false">
      <c r="A264" s="8"/>
      <c r="B264" s="9"/>
      <c r="C264" s="9"/>
      <c r="D264" s="8"/>
      <c r="E264" s="9"/>
      <c r="F264" s="9"/>
      <c r="G264" s="9"/>
    </row>
    <row r="265" customFormat="false" ht="15" hidden="false" customHeight="true" outlineLevel="0" collapsed="false">
      <c r="A265" s="8"/>
      <c r="B265" s="9"/>
      <c r="C265" s="9"/>
      <c r="D265" s="8"/>
      <c r="E265" s="9"/>
      <c r="F265" s="9"/>
      <c r="G265" s="9"/>
    </row>
    <row r="266" customFormat="false" ht="15" hidden="false" customHeight="true" outlineLevel="0" collapsed="false">
      <c r="A266" s="8"/>
      <c r="B266" s="9"/>
      <c r="C266" s="9"/>
      <c r="D266" s="8"/>
      <c r="E266" s="9"/>
      <c r="F266" s="9"/>
      <c r="G266" s="9"/>
    </row>
    <row r="267" customFormat="false" ht="15" hidden="false" customHeight="true" outlineLevel="0" collapsed="false">
      <c r="A267" s="8"/>
      <c r="B267" s="9"/>
      <c r="C267" s="9"/>
      <c r="D267" s="8"/>
      <c r="E267" s="9"/>
      <c r="F267" s="9"/>
      <c r="G267" s="9"/>
    </row>
    <row r="268" customFormat="false" ht="15" hidden="false" customHeight="true" outlineLevel="0" collapsed="false">
      <c r="A268" s="8"/>
      <c r="B268" s="9"/>
      <c r="C268" s="9"/>
      <c r="D268" s="8"/>
      <c r="E268" s="9"/>
      <c r="F268" s="9"/>
      <c r="G268" s="9"/>
    </row>
    <row r="269" customFormat="false" ht="15" hidden="false" customHeight="true" outlineLevel="0" collapsed="false">
      <c r="A269" s="8"/>
      <c r="B269" s="9"/>
      <c r="C269" s="9"/>
      <c r="D269" s="8"/>
      <c r="E269" s="9"/>
      <c r="F269" s="9"/>
      <c r="G269" s="9"/>
    </row>
    <row r="270" customFormat="false" ht="15" hidden="false" customHeight="true" outlineLevel="0" collapsed="false">
      <c r="A270" s="8"/>
      <c r="B270" s="9"/>
      <c r="C270" s="9"/>
      <c r="D270" s="8"/>
      <c r="E270" s="9"/>
      <c r="F270" s="9"/>
      <c r="G270" s="9"/>
    </row>
    <row r="271" customFormat="false" ht="15" hidden="false" customHeight="true" outlineLevel="0" collapsed="false">
      <c r="A271" s="8"/>
      <c r="B271" s="9"/>
      <c r="C271" s="9"/>
      <c r="D271" s="8"/>
      <c r="E271" s="9"/>
      <c r="F271" s="9"/>
      <c r="G271" s="9"/>
    </row>
    <row r="272" customFormat="false" ht="15" hidden="false" customHeight="true" outlineLevel="0" collapsed="false">
      <c r="A272" s="8"/>
      <c r="B272" s="9"/>
      <c r="C272" s="9"/>
      <c r="D272" s="8"/>
      <c r="E272" s="9"/>
      <c r="F272" s="9"/>
      <c r="G272" s="9"/>
    </row>
    <row r="273" customFormat="false" ht="15" hidden="false" customHeight="true" outlineLevel="0" collapsed="false">
      <c r="A273" s="8"/>
      <c r="B273" s="9"/>
      <c r="C273" s="9"/>
      <c r="D273" s="8"/>
      <c r="E273" s="9"/>
      <c r="F273" s="9"/>
      <c r="G273" s="9"/>
    </row>
    <row r="274" customFormat="false" ht="15" hidden="false" customHeight="true" outlineLevel="0" collapsed="false">
      <c r="A274" s="8"/>
      <c r="B274" s="9"/>
      <c r="C274" s="9"/>
      <c r="D274" s="8"/>
      <c r="E274" s="9"/>
      <c r="F274" s="9"/>
      <c r="G274" s="9"/>
    </row>
    <row r="275" customFormat="false" ht="15" hidden="false" customHeight="true" outlineLevel="0" collapsed="false">
      <c r="A275" s="8"/>
      <c r="B275" s="9"/>
      <c r="C275" s="9"/>
      <c r="D275" s="8"/>
      <c r="E275" s="9"/>
      <c r="F275" s="9"/>
      <c r="G275" s="9"/>
    </row>
    <row r="276" customFormat="false" ht="15" hidden="false" customHeight="true" outlineLevel="0" collapsed="false">
      <c r="A276" s="8"/>
      <c r="B276" s="9"/>
      <c r="C276" s="9"/>
      <c r="D276" s="8"/>
      <c r="E276" s="9"/>
      <c r="F276" s="9"/>
      <c r="G276" s="9"/>
    </row>
    <row r="277" customFormat="false" ht="15" hidden="false" customHeight="true" outlineLevel="0" collapsed="false">
      <c r="A277" s="8"/>
      <c r="B277" s="9"/>
      <c r="C277" s="9"/>
      <c r="D277" s="8"/>
      <c r="E277" s="9"/>
      <c r="F277" s="9"/>
      <c r="G277" s="9"/>
    </row>
    <row r="278" customFormat="false" ht="15" hidden="false" customHeight="true" outlineLevel="0" collapsed="false">
      <c r="A278" s="8"/>
      <c r="B278" s="9"/>
      <c r="C278" s="9"/>
      <c r="D278" s="8"/>
      <c r="E278" s="9"/>
      <c r="F278" s="9"/>
      <c r="G278" s="9"/>
    </row>
    <row r="279" customFormat="false" ht="15" hidden="false" customHeight="true" outlineLevel="0" collapsed="false">
      <c r="A279" s="8"/>
      <c r="B279" s="9"/>
      <c r="C279" s="9"/>
      <c r="D279" s="8"/>
      <c r="E279" s="9"/>
      <c r="F279" s="9"/>
      <c r="G279" s="9"/>
    </row>
    <row r="280" customFormat="false" ht="15" hidden="false" customHeight="true" outlineLevel="0" collapsed="false">
      <c r="A280" s="8"/>
      <c r="B280" s="9"/>
      <c r="C280" s="9"/>
      <c r="D280" s="8"/>
      <c r="E280" s="9"/>
      <c r="F280" s="9"/>
      <c r="G280" s="9"/>
    </row>
    <row r="281" customFormat="false" ht="15" hidden="false" customHeight="true" outlineLevel="0" collapsed="false">
      <c r="A281" s="8"/>
      <c r="B281" s="9"/>
      <c r="C281" s="9"/>
      <c r="D281" s="8"/>
      <c r="E281" s="9"/>
      <c r="F281" s="9"/>
      <c r="G281" s="9"/>
    </row>
    <row r="282" customFormat="false" ht="15" hidden="false" customHeight="true" outlineLevel="0" collapsed="false">
      <c r="A282" s="8"/>
      <c r="B282" s="9"/>
      <c r="C282" s="9"/>
      <c r="D282" s="8"/>
      <c r="E282" s="9"/>
      <c r="F282" s="9"/>
      <c r="G282" s="9"/>
    </row>
    <row r="283" customFormat="false" ht="15" hidden="false" customHeight="true" outlineLevel="0" collapsed="false">
      <c r="A283" s="8"/>
      <c r="B283" s="9"/>
      <c r="C283" s="9"/>
      <c r="D283" s="8"/>
      <c r="E283" s="9"/>
      <c r="F283" s="9"/>
      <c r="G283" s="9"/>
    </row>
    <row r="284" customFormat="false" ht="15" hidden="false" customHeight="true" outlineLevel="0" collapsed="false">
      <c r="A284" s="8"/>
      <c r="B284" s="9"/>
      <c r="C284" s="9"/>
      <c r="D284" s="8"/>
      <c r="E284" s="9"/>
      <c r="F284" s="9"/>
      <c r="G284" s="9"/>
    </row>
    <row r="285" customFormat="false" ht="15" hidden="false" customHeight="true" outlineLevel="0" collapsed="false">
      <c r="A285" s="8"/>
      <c r="B285" s="9"/>
      <c r="C285" s="9"/>
      <c r="D285" s="8"/>
      <c r="E285" s="9"/>
      <c r="F285" s="9"/>
      <c r="G285" s="9"/>
    </row>
    <row r="286" customFormat="false" ht="15" hidden="false" customHeight="true" outlineLevel="0" collapsed="false">
      <c r="A286" s="8"/>
      <c r="B286" s="9"/>
      <c r="C286" s="9"/>
      <c r="D286" s="8"/>
      <c r="E286" s="9"/>
      <c r="F286" s="9"/>
      <c r="G286" s="9"/>
    </row>
    <row r="287" customFormat="false" ht="15" hidden="false" customHeight="true" outlineLevel="0" collapsed="false">
      <c r="A287" s="8"/>
      <c r="B287" s="9"/>
      <c r="C287" s="9"/>
      <c r="D287" s="8"/>
      <c r="E287" s="9"/>
      <c r="F287" s="9"/>
      <c r="G287" s="9"/>
    </row>
    <row r="288" customFormat="false" ht="15" hidden="false" customHeight="true" outlineLevel="0" collapsed="false">
      <c r="A288" s="8"/>
      <c r="B288" s="9"/>
      <c r="C288" s="9"/>
      <c r="D288" s="8"/>
      <c r="E288" s="9"/>
      <c r="F288" s="9"/>
      <c r="G288" s="9"/>
    </row>
    <row r="289" customFormat="false" ht="15" hidden="false" customHeight="true" outlineLevel="0" collapsed="false">
      <c r="A289" s="8"/>
      <c r="B289" s="9"/>
      <c r="C289" s="9"/>
      <c r="D289" s="8"/>
      <c r="E289" s="9"/>
      <c r="F289" s="9"/>
      <c r="G289" s="9"/>
    </row>
    <row r="290" customFormat="false" ht="15" hidden="false" customHeight="true" outlineLevel="0" collapsed="false">
      <c r="A290" s="8"/>
      <c r="B290" s="9"/>
      <c r="C290" s="9"/>
      <c r="D290" s="8"/>
      <c r="E290" s="9"/>
      <c r="F290" s="9"/>
      <c r="G290" s="9"/>
    </row>
    <row r="291" customFormat="false" ht="15" hidden="false" customHeight="true" outlineLevel="0" collapsed="false">
      <c r="A291" s="8"/>
      <c r="B291" s="9"/>
      <c r="C291" s="9"/>
      <c r="D291" s="8"/>
      <c r="E291" s="9"/>
      <c r="F291" s="9"/>
      <c r="G291" s="9"/>
    </row>
    <row r="292" customFormat="false" ht="15" hidden="false" customHeight="true" outlineLevel="0" collapsed="false">
      <c r="A292" s="8"/>
      <c r="B292" s="9"/>
      <c r="C292" s="9"/>
      <c r="D292" s="8"/>
      <c r="E292" s="9"/>
      <c r="F292" s="9"/>
      <c r="G292" s="9"/>
    </row>
    <row r="293" customFormat="false" ht="15" hidden="false" customHeight="true" outlineLevel="0" collapsed="false">
      <c r="A293" s="8"/>
      <c r="B293" s="9"/>
      <c r="C293" s="9"/>
      <c r="D293" s="8"/>
      <c r="E293" s="9"/>
      <c r="F293" s="9"/>
      <c r="G293" s="9"/>
    </row>
    <row r="294" customFormat="false" ht="15" hidden="false" customHeight="true" outlineLevel="0" collapsed="false">
      <c r="A294" s="8"/>
      <c r="B294" s="9"/>
      <c r="C294" s="9"/>
      <c r="D294" s="8"/>
      <c r="E294" s="9"/>
      <c r="F294" s="9"/>
      <c r="G294" s="9"/>
    </row>
    <row r="295" customFormat="false" ht="15" hidden="false" customHeight="true" outlineLevel="0" collapsed="false">
      <c r="A295" s="8"/>
      <c r="B295" s="9"/>
      <c r="C295" s="9"/>
      <c r="D295" s="8"/>
      <c r="E295" s="9"/>
      <c r="F295" s="9"/>
      <c r="G295" s="9"/>
    </row>
    <row r="296" customFormat="false" ht="15" hidden="false" customHeight="true" outlineLevel="0" collapsed="false">
      <c r="A296" s="8"/>
      <c r="B296" s="9"/>
      <c r="C296" s="9"/>
      <c r="D296" s="8"/>
      <c r="E296" s="9"/>
      <c r="F296" s="9"/>
      <c r="G296" s="9"/>
    </row>
    <row r="297" customFormat="false" ht="15" hidden="false" customHeight="true" outlineLevel="0" collapsed="false">
      <c r="A297" s="8"/>
      <c r="B297" s="9"/>
      <c r="C297" s="9"/>
      <c r="D297" s="8"/>
      <c r="E297" s="9"/>
      <c r="F297" s="9"/>
      <c r="G297" s="9"/>
    </row>
    <row r="298" customFormat="false" ht="15" hidden="false" customHeight="true" outlineLevel="0" collapsed="false">
      <c r="A298" s="8"/>
      <c r="B298" s="9"/>
      <c r="C298" s="9"/>
      <c r="D298" s="8"/>
      <c r="E298" s="9"/>
      <c r="F298" s="9"/>
      <c r="G298" s="9"/>
    </row>
    <row r="299" customFormat="false" ht="15" hidden="false" customHeight="true" outlineLevel="0" collapsed="false">
      <c r="A299" s="8"/>
      <c r="B299" s="9"/>
      <c r="C299" s="9"/>
      <c r="D299" s="8"/>
      <c r="E299" s="9"/>
      <c r="F299" s="9"/>
      <c r="G299" s="9"/>
    </row>
    <row r="300" customFormat="false" ht="15" hidden="false" customHeight="true" outlineLevel="0" collapsed="false">
      <c r="A300" s="8"/>
      <c r="B300" s="9"/>
      <c r="C300" s="9"/>
      <c r="D300" s="8"/>
      <c r="E300" s="9"/>
      <c r="F300" s="9"/>
      <c r="G300" s="9"/>
    </row>
    <row r="301" customFormat="false" ht="15" hidden="false" customHeight="true" outlineLevel="0" collapsed="false">
      <c r="A301" s="8"/>
      <c r="B301" s="9"/>
      <c r="C301" s="9"/>
      <c r="D301" s="8"/>
      <c r="E301" s="9"/>
      <c r="F301" s="9"/>
      <c r="G301" s="9"/>
    </row>
    <row r="302" customFormat="false" ht="15" hidden="false" customHeight="true" outlineLevel="0" collapsed="false">
      <c r="A302" s="8"/>
      <c r="B302" s="9"/>
      <c r="C302" s="9"/>
      <c r="D302" s="8"/>
      <c r="E302" s="9"/>
      <c r="F302" s="9"/>
      <c r="G302" s="9"/>
    </row>
    <row r="303" customFormat="false" ht="15" hidden="false" customHeight="true" outlineLevel="0" collapsed="false">
      <c r="A303" s="8"/>
      <c r="B303" s="9"/>
      <c r="C303" s="9"/>
      <c r="D303" s="8"/>
      <c r="E303" s="9"/>
      <c r="F303" s="9"/>
      <c r="G303" s="9"/>
    </row>
    <row r="304" customFormat="false" ht="15" hidden="false" customHeight="true" outlineLevel="0" collapsed="false">
      <c r="A304" s="8"/>
      <c r="B304" s="9"/>
      <c r="C304" s="9"/>
      <c r="D304" s="8"/>
      <c r="E304" s="9"/>
      <c r="F304" s="9"/>
      <c r="G304" s="9"/>
    </row>
    <row r="305" customFormat="false" ht="15" hidden="false" customHeight="true" outlineLevel="0" collapsed="false">
      <c r="A305" s="8"/>
      <c r="B305" s="9"/>
      <c r="C305" s="9"/>
      <c r="D305" s="8"/>
      <c r="E305" s="9"/>
      <c r="F305" s="9"/>
      <c r="G305" s="9"/>
    </row>
    <row r="306" customFormat="false" ht="15" hidden="false" customHeight="true" outlineLevel="0" collapsed="false">
      <c r="A306" s="8"/>
      <c r="B306" s="9"/>
      <c r="C306" s="9"/>
      <c r="D306" s="8"/>
      <c r="E306" s="9"/>
      <c r="F306" s="9"/>
      <c r="G306" s="9"/>
    </row>
    <row r="307" customFormat="false" ht="15" hidden="false" customHeight="true" outlineLevel="0" collapsed="false">
      <c r="A307" s="8"/>
      <c r="B307" s="9"/>
      <c r="C307" s="9"/>
      <c r="D307" s="8"/>
      <c r="E307" s="9"/>
      <c r="F307" s="9"/>
      <c r="G307" s="9"/>
    </row>
    <row r="308" customFormat="false" ht="15" hidden="false" customHeight="true" outlineLevel="0" collapsed="false">
      <c r="A308" s="8"/>
      <c r="B308" s="9"/>
      <c r="C308" s="9"/>
      <c r="D308" s="8"/>
      <c r="E308" s="9"/>
      <c r="F308" s="9"/>
      <c r="G308" s="9"/>
    </row>
    <row r="309" customFormat="false" ht="15" hidden="false" customHeight="true" outlineLevel="0" collapsed="false">
      <c r="A309" s="8"/>
      <c r="B309" s="9"/>
      <c r="C309" s="9"/>
      <c r="D309" s="8"/>
      <c r="E309" s="9"/>
      <c r="F309" s="9"/>
      <c r="G309" s="9"/>
    </row>
    <row r="310" customFormat="false" ht="15" hidden="false" customHeight="true" outlineLevel="0" collapsed="false">
      <c r="A310" s="8"/>
      <c r="B310" s="9"/>
      <c r="C310" s="9"/>
      <c r="D310" s="8"/>
      <c r="E310" s="9"/>
      <c r="F310" s="9"/>
      <c r="G310" s="9"/>
    </row>
    <row r="311" customFormat="false" ht="15" hidden="false" customHeight="true" outlineLevel="0" collapsed="false">
      <c r="A311" s="8"/>
      <c r="B311" s="9"/>
      <c r="C311" s="9"/>
      <c r="D311" s="8"/>
      <c r="E311" s="9"/>
      <c r="F311" s="9"/>
      <c r="G311" s="9"/>
    </row>
    <row r="312" customFormat="false" ht="15" hidden="false" customHeight="true" outlineLevel="0" collapsed="false">
      <c r="A312" s="8"/>
      <c r="B312" s="9"/>
      <c r="C312" s="9"/>
      <c r="D312" s="8"/>
      <c r="E312" s="9"/>
      <c r="F312" s="9"/>
      <c r="G312" s="9"/>
    </row>
    <row r="313" customFormat="false" ht="15" hidden="false" customHeight="true" outlineLevel="0" collapsed="false">
      <c r="A313" s="8"/>
      <c r="B313" s="9"/>
      <c r="C313" s="9"/>
      <c r="D313" s="8"/>
      <c r="E313" s="9"/>
      <c r="F313" s="9"/>
      <c r="G313" s="9"/>
    </row>
    <row r="314" customFormat="false" ht="15" hidden="false" customHeight="true" outlineLevel="0" collapsed="false">
      <c r="A314" s="8"/>
      <c r="B314" s="9"/>
      <c r="C314" s="9"/>
      <c r="D314" s="8"/>
      <c r="E314" s="9"/>
      <c r="F314" s="9"/>
      <c r="G314" s="9"/>
    </row>
    <row r="315" customFormat="false" ht="15" hidden="false" customHeight="true" outlineLevel="0" collapsed="false">
      <c r="A315" s="8"/>
      <c r="B315" s="9"/>
      <c r="C315" s="9"/>
      <c r="D315" s="8"/>
      <c r="E315" s="9"/>
      <c r="F315" s="9"/>
      <c r="G315" s="9"/>
    </row>
    <row r="316" customFormat="false" ht="15" hidden="false" customHeight="true" outlineLevel="0" collapsed="false">
      <c r="A316" s="8"/>
      <c r="B316" s="9"/>
      <c r="C316" s="9"/>
      <c r="D316" s="8"/>
      <c r="E316" s="9"/>
      <c r="F316" s="9"/>
      <c r="G316" s="9"/>
    </row>
    <row r="317" customFormat="false" ht="15" hidden="false" customHeight="true" outlineLevel="0" collapsed="false">
      <c r="A317" s="8"/>
      <c r="B317" s="9"/>
      <c r="C317" s="9"/>
      <c r="D317" s="8"/>
      <c r="E317" s="9"/>
      <c r="F317" s="9"/>
      <c r="G317" s="9"/>
    </row>
    <row r="318" customFormat="false" ht="15" hidden="false" customHeight="true" outlineLevel="0" collapsed="false">
      <c r="A318" s="8"/>
      <c r="B318" s="9"/>
      <c r="C318" s="9"/>
      <c r="D318" s="8"/>
      <c r="E318" s="9"/>
      <c r="F318" s="9"/>
      <c r="G318" s="9"/>
    </row>
    <row r="319" customFormat="false" ht="15" hidden="false" customHeight="true" outlineLevel="0" collapsed="false">
      <c r="A319" s="8"/>
      <c r="B319" s="9"/>
      <c r="C319" s="9"/>
      <c r="D319" s="8"/>
      <c r="E319" s="9"/>
      <c r="F319" s="9"/>
      <c r="G319" s="9"/>
    </row>
    <row r="320" customFormat="false" ht="15" hidden="false" customHeight="true" outlineLevel="0" collapsed="false">
      <c r="A320" s="8"/>
      <c r="B320" s="9"/>
      <c r="C320" s="9"/>
      <c r="D320" s="8"/>
      <c r="E320" s="9"/>
      <c r="F320" s="9"/>
      <c r="G320" s="9"/>
    </row>
    <row r="321" customFormat="false" ht="15" hidden="false" customHeight="true" outlineLevel="0" collapsed="false">
      <c r="A321" s="8"/>
      <c r="B321" s="9"/>
      <c r="C321" s="9"/>
      <c r="D321" s="8"/>
      <c r="E321" s="9"/>
      <c r="F321" s="9"/>
      <c r="G321" s="9"/>
    </row>
    <row r="322" customFormat="false" ht="15" hidden="false" customHeight="true" outlineLevel="0" collapsed="false">
      <c r="A322" s="8"/>
      <c r="B322" s="9"/>
      <c r="C322" s="9"/>
      <c r="D322" s="8"/>
      <c r="E322" s="9"/>
      <c r="F322" s="9"/>
      <c r="G322" s="9"/>
    </row>
    <row r="323" customFormat="false" ht="15" hidden="false" customHeight="true" outlineLevel="0" collapsed="false">
      <c r="A323" s="8"/>
      <c r="B323" s="9"/>
      <c r="C323" s="9"/>
      <c r="D323" s="8"/>
      <c r="E323" s="9"/>
      <c r="F323" s="9"/>
      <c r="G323" s="9"/>
    </row>
    <row r="324" customFormat="false" ht="15" hidden="false" customHeight="true" outlineLevel="0" collapsed="false">
      <c r="A324" s="8"/>
      <c r="B324" s="9"/>
      <c r="C324" s="9"/>
      <c r="D324" s="8"/>
      <c r="E324" s="9"/>
      <c r="F324" s="9"/>
      <c r="G324" s="9"/>
    </row>
    <row r="325" customFormat="false" ht="15" hidden="false" customHeight="true" outlineLevel="0" collapsed="false">
      <c r="A325" s="8"/>
      <c r="B325" s="9"/>
      <c r="C325" s="9"/>
      <c r="D325" s="8"/>
      <c r="E325" s="9"/>
      <c r="F325" s="9"/>
      <c r="G325" s="9"/>
    </row>
    <row r="326" customFormat="false" ht="15" hidden="false" customHeight="true" outlineLevel="0" collapsed="false">
      <c r="A326" s="8"/>
      <c r="B326" s="9"/>
      <c r="C326" s="9"/>
      <c r="D326" s="8"/>
      <c r="E326" s="9"/>
      <c r="F326" s="9"/>
      <c r="G326" s="9"/>
    </row>
    <row r="327" customFormat="false" ht="15" hidden="false" customHeight="true" outlineLevel="0" collapsed="false">
      <c r="A327" s="8"/>
      <c r="B327" s="9"/>
      <c r="C327" s="9"/>
      <c r="D327" s="8"/>
      <c r="E327" s="9"/>
      <c r="F327" s="9"/>
      <c r="G327" s="9"/>
    </row>
    <row r="328" customFormat="false" ht="15" hidden="false" customHeight="true" outlineLevel="0" collapsed="false">
      <c r="A328" s="8"/>
      <c r="B328" s="9"/>
      <c r="C328" s="9"/>
      <c r="D328" s="8"/>
      <c r="E328" s="9"/>
      <c r="F328" s="9"/>
      <c r="G328" s="9"/>
    </row>
    <row r="329" customFormat="false" ht="15" hidden="false" customHeight="true" outlineLevel="0" collapsed="false">
      <c r="A329" s="8"/>
      <c r="B329" s="9"/>
      <c r="C329" s="9"/>
      <c r="D329" s="8"/>
      <c r="E329" s="9"/>
      <c r="F329" s="9"/>
      <c r="G329" s="9"/>
    </row>
    <row r="330" customFormat="false" ht="15" hidden="false" customHeight="true" outlineLevel="0" collapsed="false">
      <c r="A330" s="8"/>
      <c r="B330" s="9"/>
      <c r="C330" s="9"/>
      <c r="D330" s="8"/>
      <c r="E330" s="9"/>
      <c r="F330" s="9"/>
      <c r="G330" s="9"/>
    </row>
    <row r="331" customFormat="false" ht="15" hidden="false" customHeight="true" outlineLevel="0" collapsed="false">
      <c r="A331" s="8"/>
      <c r="B331" s="9"/>
      <c r="C331" s="9"/>
      <c r="D331" s="8"/>
      <c r="E331" s="9"/>
      <c r="F331" s="9"/>
      <c r="G331" s="9"/>
    </row>
    <row r="332" customFormat="false" ht="15" hidden="false" customHeight="true" outlineLevel="0" collapsed="false">
      <c r="A332" s="8"/>
      <c r="B332" s="9"/>
      <c r="C332" s="9"/>
      <c r="D332" s="8"/>
      <c r="E332" s="9"/>
      <c r="F332" s="9"/>
      <c r="G332" s="9"/>
    </row>
    <row r="333" customFormat="false" ht="15" hidden="false" customHeight="true" outlineLevel="0" collapsed="false">
      <c r="A333" s="8"/>
      <c r="B333" s="9"/>
      <c r="C333" s="9"/>
      <c r="D333" s="8"/>
      <c r="E333" s="9"/>
      <c r="F333" s="9"/>
      <c r="G333" s="9"/>
    </row>
    <row r="334" customFormat="false" ht="15" hidden="false" customHeight="true" outlineLevel="0" collapsed="false">
      <c r="A334" s="8"/>
      <c r="B334" s="9"/>
      <c r="C334" s="9"/>
      <c r="D334" s="8"/>
      <c r="E334" s="9"/>
      <c r="F334" s="9"/>
      <c r="G334" s="9"/>
    </row>
    <row r="335" customFormat="false" ht="15" hidden="false" customHeight="true" outlineLevel="0" collapsed="false">
      <c r="A335" s="8"/>
      <c r="B335" s="9"/>
      <c r="C335" s="9"/>
      <c r="D335" s="8"/>
      <c r="E335" s="9"/>
      <c r="F335" s="9"/>
      <c r="G335" s="9"/>
    </row>
    <row r="336" customFormat="false" ht="15" hidden="false" customHeight="true" outlineLevel="0" collapsed="false">
      <c r="A336" s="8"/>
      <c r="B336" s="9"/>
      <c r="C336" s="9"/>
      <c r="D336" s="8"/>
      <c r="E336" s="9"/>
      <c r="F336" s="9"/>
      <c r="G336" s="9"/>
    </row>
    <row r="337" customFormat="false" ht="15" hidden="false" customHeight="true" outlineLevel="0" collapsed="false">
      <c r="A337" s="8"/>
      <c r="B337" s="9"/>
      <c r="C337" s="9"/>
      <c r="D337" s="8"/>
      <c r="E337" s="9"/>
      <c r="F337" s="9"/>
      <c r="G337" s="9"/>
    </row>
    <row r="338" customFormat="false" ht="15" hidden="false" customHeight="true" outlineLevel="0" collapsed="false">
      <c r="A338" s="8"/>
      <c r="B338" s="9"/>
      <c r="C338" s="9"/>
      <c r="D338" s="8"/>
      <c r="E338" s="9"/>
      <c r="F338" s="9"/>
      <c r="G338" s="9"/>
    </row>
    <row r="339" customFormat="false" ht="15" hidden="false" customHeight="true" outlineLevel="0" collapsed="false">
      <c r="A339" s="8"/>
      <c r="B339" s="9"/>
      <c r="C339" s="9"/>
      <c r="D339" s="8"/>
      <c r="E339" s="9"/>
      <c r="F339" s="9"/>
      <c r="G339" s="9"/>
    </row>
    <row r="340" customFormat="false" ht="15" hidden="false" customHeight="true" outlineLevel="0" collapsed="false">
      <c r="A340" s="8"/>
      <c r="B340" s="9"/>
      <c r="C340" s="9"/>
      <c r="D340" s="8"/>
      <c r="E340" s="9"/>
      <c r="F340" s="9"/>
      <c r="G340" s="9"/>
    </row>
    <row r="341" customFormat="false" ht="15" hidden="false" customHeight="true" outlineLevel="0" collapsed="false">
      <c r="A341" s="8"/>
      <c r="B341" s="9"/>
      <c r="C341" s="9"/>
      <c r="D341" s="8"/>
      <c r="E341" s="9"/>
      <c r="F341" s="9"/>
      <c r="G341" s="9"/>
    </row>
    <row r="342" customFormat="false" ht="15" hidden="false" customHeight="true" outlineLevel="0" collapsed="false">
      <c r="A342" s="8"/>
      <c r="B342" s="9"/>
      <c r="C342" s="9"/>
      <c r="D342" s="8"/>
      <c r="E342" s="9"/>
      <c r="F342" s="9"/>
      <c r="G342" s="9"/>
    </row>
    <row r="343" customFormat="false" ht="15" hidden="false" customHeight="true" outlineLevel="0" collapsed="false">
      <c r="A343" s="8"/>
      <c r="B343" s="9"/>
      <c r="C343" s="9"/>
      <c r="D343" s="8"/>
      <c r="E343" s="9"/>
      <c r="F343" s="9"/>
      <c r="G343" s="9"/>
    </row>
    <row r="344" customFormat="false" ht="15" hidden="false" customHeight="true" outlineLevel="0" collapsed="false">
      <c r="A344" s="8"/>
      <c r="B344" s="9"/>
      <c r="C344" s="9"/>
      <c r="D344" s="8"/>
      <c r="E344" s="9"/>
      <c r="F344" s="9"/>
      <c r="G344" s="9"/>
    </row>
    <row r="345" customFormat="false" ht="15" hidden="false" customHeight="true" outlineLevel="0" collapsed="false">
      <c r="A345" s="8"/>
      <c r="B345" s="9"/>
      <c r="C345" s="9"/>
      <c r="D345" s="8"/>
      <c r="E345" s="9"/>
      <c r="F345" s="9"/>
      <c r="G345" s="9"/>
    </row>
    <row r="346" customFormat="false" ht="15" hidden="false" customHeight="true" outlineLevel="0" collapsed="false">
      <c r="A346" s="8"/>
      <c r="B346" s="9"/>
      <c r="C346" s="9"/>
      <c r="D346" s="8"/>
      <c r="E346" s="9"/>
      <c r="F346" s="9"/>
      <c r="G346" s="9"/>
    </row>
    <row r="347" customFormat="false" ht="15" hidden="false" customHeight="true" outlineLevel="0" collapsed="false">
      <c r="A347" s="8"/>
      <c r="B347" s="9"/>
      <c r="C347" s="9"/>
      <c r="D347" s="8"/>
      <c r="E347" s="9"/>
      <c r="F347" s="9"/>
      <c r="G347" s="9"/>
    </row>
    <row r="348" customFormat="false" ht="15" hidden="false" customHeight="true" outlineLevel="0" collapsed="false">
      <c r="A348" s="8"/>
      <c r="B348" s="9"/>
      <c r="C348" s="9"/>
      <c r="D348" s="8"/>
      <c r="E348" s="9"/>
      <c r="F348" s="9"/>
      <c r="G348" s="9"/>
    </row>
    <row r="349" customFormat="false" ht="15" hidden="false" customHeight="true" outlineLevel="0" collapsed="false">
      <c r="A349" s="8"/>
      <c r="B349" s="9"/>
      <c r="C349" s="9"/>
      <c r="D349" s="8"/>
      <c r="E349" s="9"/>
      <c r="F349" s="9"/>
      <c r="G349" s="9"/>
    </row>
    <row r="350" customFormat="false" ht="15" hidden="false" customHeight="true" outlineLevel="0" collapsed="false">
      <c r="A350" s="8"/>
      <c r="B350" s="9"/>
      <c r="C350" s="9"/>
      <c r="D350" s="8"/>
      <c r="E350" s="9"/>
      <c r="F350" s="9"/>
      <c r="G350" s="9"/>
    </row>
    <row r="351" customFormat="false" ht="15" hidden="false" customHeight="true" outlineLevel="0" collapsed="false">
      <c r="A351" s="8"/>
      <c r="B351" s="9"/>
      <c r="C351" s="9"/>
      <c r="D351" s="8"/>
      <c r="E351" s="9"/>
      <c r="F351" s="9"/>
      <c r="G351" s="9"/>
    </row>
    <row r="352" customFormat="false" ht="15" hidden="false" customHeight="true" outlineLevel="0" collapsed="false">
      <c r="A352" s="8"/>
      <c r="B352" s="9"/>
      <c r="C352" s="9"/>
      <c r="D352" s="8"/>
      <c r="E352" s="9"/>
      <c r="F352" s="9"/>
      <c r="G352" s="9"/>
    </row>
    <row r="353" customFormat="false" ht="15" hidden="false" customHeight="true" outlineLevel="0" collapsed="false">
      <c r="A353" s="8"/>
      <c r="B353" s="9"/>
      <c r="C353" s="9"/>
      <c r="D353" s="8"/>
      <c r="E353" s="9"/>
      <c r="F353" s="9"/>
      <c r="G353" s="9"/>
    </row>
    <row r="354" customFormat="false" ht="15" hidden="false" customHeight="true" outlineLevel="0" collapsed="false">
      <c r="A354" s="8"/>
      <c r="B354" s="9"/>
      <c r="C354" s="9"/>
      <c r="D354" s="8"/>
      <c r="E354" s="9"/>
      <c r="F354" s="9"/>
      <c r="G354" s="9"/>
    </row>
    <row r="355" customFormat="false" ht="15" hidden="false" customHeight="true" outlineLevel="0" collapsed="false">
      <c r="A355" s="8"/>
      <c r="B355" s="9"/>
      <c r="C355" s="9"/>
      <c r="D355" s="8"/>
      <c r="E355" s="9"/>
      <c r="F355" s="9"/>
      <c r="G355" s="9"/>
    </row>
    <row r="356" customFormat="false" ht="15" hidden="false" customHeight="true" outlineLevel="0" collapsed="false">
      <c r="A356" s="8"/>
      <c r="B356" s="9"/>
      <c r="C356" s="9"/>
      <c r="D356" s="8"/>
      <c r="E356" s="9"/>
      <c r="F356" s="9"/>
      <c r="G356" s="9"/>
    </row>
    <row r="357" customFormat="false" ht="15" hidden="false" customHeight="true" outlineLevel="0" collapsed="false">
      <c r="A357" s="8"/>
      <c r="B357" s="9"/>
      <c r="C357" s="9"/>
      <c r="D357" s="8"/>
      <c r="E357" s="9"/>
      <c r="F357" s="9"/>
      <c r="G357" s="9"/>
    </row>
    <row r="358" customFormat="false" ht="15" hidden="false" customHeight="true" outlineLevel="0" collapsed="false">
      <c r="A358" s="8"/>
      <c r="B358" s="9"/>
      <c r="C358" s="9"/>
      <c r="D358" s="8"/>
      <c r="E358" s="9"/>
      <c r="F358" s="9"/>
      <c r="G358" s="9"/>
    </row>
    <row r="359" customFormat="false" ht="15" hidden="false" customHeight="true" outlineLevel="0" collapsed="false">
      <c r="A359" s="8"/>
      <c r="B359" s="9"/>
      <c r="C359" s="9"/>
      <c r="D359" s="8"/>
      <c r="E359" s="9"/>
      <c r="F359" s="9"/>
      <c r="G359" s="9"/>
    </row>
    <row r="360" customFormat="false" ht="15" hidden="false" customHeight="true" outlineLevel="0" collapsed="false">
      <c r="A360" s="8"/>
      <c r="B360" s="9"/>
      <c r="C360" s="9"/>
      <c r="D360" s="8"/>
      <c r="E360" s="9"/>
      <c r="F360" s="9"/>
      <c r="G360" s="9"/>
    </row>
    <row r="361" customFormat="false" ht="15" hidden="false" customHeight="true" outlineLevel="0" collapsed="false">
      <c r="A361" s="8"/>
      <c r="B361" s="9"/>
      <c r="C361" s="9"/>
      <c r="D361" s="8"/>
      <c r="E361" s="9"/>
      <c r="F361" s="9"/>
      <c r="G361" s="9"/>
    </row>
    <row r="362" customFormat="false" ht="15" hidden="false" customHeight="true" outlineLevel="0" collapsed="false">
      <c r="A362" s="8"/>
      <c r="B362" s="9"/>
      <c r="C362" s="9"/>
      <c r="D362" s="8"/>
      <c r="E362" s="9"/>
      <c r="F362" s="9"/>
      <c r="G362" s="9"/>
    </row>
    <row r="363" customFormat="false" ht="15" hidden="false" customHeight="true" outlineLevel="0" collapsed="false">
      <c r="A363" s="8"/>
      <c r="B363" s="9"/>
      <c r="C363" s="9"/>
      <c r="D363" s="8"/>
      <c r="E363" s="9"/>
      <c r="F363" s="9"/>
      <c r="G363" s="9"/>
    </row>
    <row r="364" customFormat="false" ht="15" hidden="false" customHeight="true" outlineLevel="0" collapsed="false">
      <c r="A364" s="8"/>
      <c r="B364" s="9"/>
      <c r="C364" s="9"/>
      <c r="D364" s="8"/>
      <c r="E364" s="9"/>
      <c r="F364" s="9"/>
      <c r="G364" s="9"/>
    </row>
    <row r="365" customFormat="false" ht="15" hidden="false" customHeight="true" outlineLevel="0" collapsed="false">
      <c r="A365" s="8"/>
      <c r="B365" s="9"/>
      <c r="C365" s="9"/>
      <c r="D365" s="8"/>
      <c r="E365" s="9"/>
      <c r="F365" s="9"/>
      <c r="G365" s="9"/>
    </row>
    <row r="366" customFormat="false" ht="15" hidden="false" customHeight="true" outlineLevel="0" collapsed="false">
      <c r="A366" s="8"/>
      <c r="B366" s="9"/>
      <c r="C366" s="9"/>
      <c r="D366" s="8"/>
      <c r="E366" s="9"/>
      <c r="F366" s="9"/>
      <c r="G366" s="9"/>
    </row>
    <row r="367" customFormat="false" ht="15" hidden="false" customHeight="true" outlineLevel="0" collapsed="false">
      <c r="A367" s="8"/>
      <c r="B367" s="9"/>
      <c r="C367" s="9"/>
      <c r="D367" s="8"/>
      <c r="E367" s="9"/>
      <c r="F367" s="9"/>
      <c r="G367" s="9"/>
    </row>
    <row r="368" customFormat="false" ht="15" hidden="false" customHeight="true" outlineLevel="0" collapsed="false">
      <c r="A368" s="8"/>
      <c r="B368" s="9"/>
      <c r="C368" s="9"/>
      <c r="D368" s="8"/>
      <c r="E368" s="9"/>
      <c r="F368" s="9"/>
      <c r="G368" s="9"/>
    </row>
    <row r="369" customFormat="false" ht="15" hidden="false" customHeight="true" outlineLevel="0" collapsed="false">
      <c r="A369" s="8"/>
      <c r="B369" s="9"/>
      <c r="C369" s="9"/>
      <c r="D369" s="8"/>
      <c r="E369" s="9"/>
      <c r="F369" s="9"/>
      <c r="G369" s="9"/>
    </row>
    <row r="370" customFormat="false" ht="15" hidden="false" customHeight="true" outlineLevel="0" collapsed="false">
      <c r="A370" s="8"/>
      <c r="B370" s="9"/>
      <c r="C370" s="9"/>
      <c r="D370" s="8"/>
      <c r="E370" s="9"/>
      <c r="F370" s="9"/>
      <c r="G370" s="9"/>
    </row>
    <row r="371" customFormat="false" ht="15" hidden="false" customHeight="true" outlineLevel="0" collapsed="false">
      <c r="A371" s="8"/>
      <c r="B371" s="9"/>
      <c r="C371" s="9"/>
      <c r="D371" s="8"/>
      <c r="E371" s="9"/>
      <c r="F371" s="9"/>
      <c r="G371" s="9"/>
    </row>
    <row r="372" customFormat="false" ht="15" hidden="false" customHeight="true" outlineLevel="0" collapsed="false">
      <c r="A372" s="8"/>
      <c r="B372" s="9"/>
      <c r="C372" s="9"/>
      <c r="D372" s="8"/>
      <c r="E372" s="9"/>
      <c r="F372" s="9"/>
      <c r="G372" s="9"/>
    </row>
    <row r="373" customFormat="false" ht="15" hidden="false" customHeight="true" outlineLevel="0" collapsed="false">
      <c r="A373" s="8"/>
      <c r="B373" s="9"/>
      <c r="C373" s="9"/>
      <c r="D373" s="8"/>
      <c r="E373" s="9"/>
      <c r="F373" s="9"/>
      <c r="G373" s="9"/>
    </row>
    <row r="374" customFormat="false" ht="15" hidden="false" customHeight="true" outlineLevel="0" collapsed="false">
      <c r="A374" s="8"/>
      <c r="B374" s="9"/>
      <c r="C374" s="9"/>
      <c r="D374" s="8"/>
      <c r="E374" s="9"/>
      <c r="F374" s="9"/>
      <c r="G374" s="9"/>
    </row>
    <row r="375" customFormat="false" ht="15" hidden="false" customHeight="true" outlineLevel="0" collapsed="false">
      <c r="A375" s="8"/>
      <c r="B375" s="9"/>
      <c r="C375" s="9"/>
      <c r="D375" s="8"/>
      <c r="E375" s="9"/>
      <c r="F375" s="9"/>
      <c r="G375" s="9"/>
    </row>
    <row r="376" customFormat="false" ht="15" hidden="false" customHeight="true" outlineLevel="0" collapsed="false">
      <c r="A376" s="8"/>
      <c r="B376" s="9"/>
      <c r="C376" s="9"/>
      <c r="D376" s="8"/>
      <c r="E376" s="9"/>
      <c r="F376" s="9"/>
      <c r="G376" s="9"/>
    </row>
    <row r="377" customFormat="false" ht="15" hidden="false" customHeight="true" outlineLevel="0" collapsed="false">
      <c r="A377" s="8"/>
      <c r="B377" s="9"/>
      <c r="C377" s="9"/>
      <c r="D377" s="8"/>
      <c r="E377" s="9"/>
      <c r="F377" s="9"/>
      <c r="G377" s="9"/>
    </row>
    <row r="378" customFormat="false" ht="15" hidden="false" customHeight="true" outlineLevel="0" collapsed="false">
      <c r="A378" s="8"/>
      <c r="B378" s="9"/>
      <c r="C378" s="9"/>
      <c r="D378" s="8"/>
      <c r="E378" s="9"/>
      <c r="F378" s="9"/>
      <c r="G378" s="9"/>
    </row>
    <row r="379" customFormat="false" ht="15" hidden="false" customHeight="true" outlineLevel="0" collapsed="false">
      <c r="A379" s="8"/>
      <c r="B379" s="9"/>
      <c r="C379" s="9"/>
      <c r="D379" s="8"/>
      <c r="E379" s="9"/>
      <c r="F379" s="9"/>
      <c r="G379" s="9"/>
    </row>
    <row r="380" customFormat="false" ht="15" hidden="false" customHeight="true" outlineLevel="0" collapsed="false">
      <c r="A380" s="8"/>
      <c r="B380" s="9"/>
      <c r="C380" s="9"/>
      <c r="D380" s="8"/>
      <c r="E380" s="9"/>
      <c r="F380" s="9"/>
      <c r="G380" s="9"/>
    </row>
    <row r="381" customFormat="false" ht="15" hidden="false" customHeight="true" outlineLevel="0" collapsed="false">
      <c r="A381" s="8"/>
      <c r="B381" s="9"/>
      <c r="C381" s="9"/>
      <c r="D381" s="8"/>
      <c r="E381" s="9"/>
      <c r="F381" s="9"/>
      <c r="G381" s="9"/>
    </row>
    <row r="382" customFormat="false" ht="15" hidden="false" customHeight="true" outlineLevel="0" collapsed="false">
      <c r="A382" s="8"/>
      <c r="B382" s="9"/>
      <c r="C382" s="9"/>
      <c r="D382" s="8"/>
      <c r="E382" s="9"/>
      <c r="F382" s="9"/>
      <c r="G382" s="9"/>
    </row>
    <row r="383" customFormat="false" ht="15" hidden="false" customHeight="true" outlineLevel="0" collapsed="false">
      <c r="A383" s="8"/>
      <c r="B383" s="9"/>
      <c r="C383" s="9"/>
      <c r="D383" s="8"/>
      <c r="E383" s="9"/>
      <c r="F383" s="9"/>
      <c r="G383" s="9"/>
    </row>
    <row r="384" customFormat="false" ht="15" hidden="false" customHeight="true" outlineLevel="0" collapsed="false">
      <c r="A384" s="8"/>
      <c r="B384" s="9"/>
      <c r="C384" s="9"/>
      <c r="D384" s="8"/>
      <c r="E384" s="9"/>
      <c r="F384" s="9"/>
      <c r="G384" s="9"/>
    </row>
    <row r="385" customFormat="false" ht="15" hidden="false" customHeight="true" outlineLevel="0" collapsed="false">
      <c r="A385" s="8"/>
      <c r="B385" s="9"/>
      <c r="C385" s="9"/>
      <c r="D385" s="8"/>
      <c r="E385" s="9"/>
      <c r="F385" s="9"/>
      <c r="G385" s="9"/>
    </row>
    <row r="386" customFormat="false" ht="15" hidden="false" customHeight="true" outlineLevel="0" collapsed="false">
      <c r="A386" s="8"/>
      <c r="B386" s="9"/>
      <c r="C386" s="9"/>
      <c r="D386" s="8"/>
      <c r="E386" s="9"/>
      <c r="F386" s="9"/>
      <c r="G386" s="9"/>
    </row>
    <row r="387" customFormat="false" ht="15" hidden="false" customHeight="true" outlineLevel="0" collapsed="false">
      <c r="A387" s="8"/>
      <c r="B387" s="9"/>
      <c r="C387" s="9"/>
      <c r="D387" s="8"/>
      <c r="E387" s="9"/>
      <c r="F387" s="9"/>
      <c r="G387" s="9"/>
    </row>
    <row r="388" customFormat="false" ht="15" hidden="false" customHeight="true" outlineLevel="0" collapsed="false">
      <c r="A388" s="8"/>
      <c r="B388" s="9"/>
      <c r="C388" s="9"/>
      <c r="D388" s="8"/>
      <c r="E388" s="9"/>
      <c r="F388" s="9"/>
      <c r="G388" s="9"/>
    </row>
    <row r="389" customFormat="false" ht="15" hidden="false" customHeight="true" outlineLevel="0" collapsed="false">
      <c r="A389" s="8"/>
      <c r="B389" s="9"/>
      <c r="C389" s="9"/>
      <c r="D389" s="8"/>
      <c r="E389" s="9"/>
      <c r="F389" s="9"/>
      <c r="G389" s="9"/>
    </row>
    <row r="390" customFormat="false" ht="15" hidden="false" customHeight="true" outlineLevel="0" collapsed="false">
      <c r="A390" s="8"/>
      <c r="B390" s="9"/>
      <c r="C390" s="9"/>
      <c r="D390" s="8"/>
      <c r="E390" s="9"/>
      <c r="F390" s="9"/>
      <c r="G390" s="9"/>
    </row>
    <row r="391" customFormat="false" ht="15" hidden="false" customHeight="true" outlineLevel="0" collapsed="false">
      <c r="A391" s="8"/>
      <c r="B391" s="9"/>
      <c r="C391" s="9"/>
      <c r="D391" s="8"/>
      <c r="E391" s="9"/>
      <c r="F391" s="9"/>
      <c r="G391" s="9"/>
    </row>
    <row r="392" customFormat="false" ht="15" hidden="false" customHeight="true" outlineLevel="0" collapsed="false">
      <c r="A392" s="8"/>
      <c r="B392" s="9"/>
      <c r="C392" s="9"/>
      <c r="D392" s="8"/>
      <c r="E392" s="9"/>
      <c r="F392" s="9"/>
      <c r="G392" s="9"/>
    </row>
    <row r="393" customFormat="false" ht="15" hidden="false" customHeight="true" outlineLevel="0" collapsed="false">
      <c r="A393" s="8"/>
      <c r="B393" s="9"/>
      <c r="C393" s="9"/>
      <c r="D393" s="8"/>
      <c r="E393" s="9"/>
      <c r="F393" s="9"/>
      <c r="G393" s="9"/>
    </row>
    <row r="394" customFormat="false" ht="15" hidden="false" customHeight="true" outlineLevel="0" collapsed="false">
      <c r="A394" s="8"/>
      <c r="B394" s="9"/>
      <c r="C394" s="9"/>
      <c r="D394" s="8"/>
      <c r="E394" s="9"/>
      <c r="F394" s="9"/>
      <c r="G394" s="9"/>
    </row>
    <row r="395" customFormat="false" ht="15" hidden="false" customHeight="true" outlineLevel="0" collapsed="false">
      <c r="A395" s="8"/>
      <c r="B395" s="9"/>
      <c r="C395" s="9"/>
      <c r="D395" s="8"/>
      <c r="E395" s="9"/>
      <c r="F395" s="9"/>
      <c r="G395" s="9"/>
    </row>
    <row r="396" customFormat="false" ht="15" hidden="false" customHeight="true" outlineLevel="0" collapsed="false">
      <c r="A396" s="8"/>
      <c r="B396" s="9"/>
      <c r="C396" s="9"/>
      <c r="D396" s="8"/>
      <c r="E396" s="9"/>
      <c r="F396" s="9"/>
      <c r="G396" s="9"/>
    </row>
    <row r="397" customFormat="false" ht="15" hidden="false" customHeight="true" outlineLevel="0" collapsed="false">
      <c r="A397" s="8"/>
      <c r="B397" s="9"/>
      <c r="C397" s="9"/>
      <c r="D397" s="8"/>
      <c r="E397" s="9"/>
      <c r="F397" s="9"/>
      <c r="G397" s="9"/>
    </row>
    <row r="398" customFormat="false" ht="15" hidden="false" customHeight="true" outlineLevel="0" collapsed="false">
      <c r="A398" s="8"/>
      <c r="B398" s="9"/>
      <c r="C398" s="9"/>
      <c r="D398" s="8"/>
      <c r="E398" s="9"/>
      <c r="F398" s="9"/>
      <c r="G398" s="9"/>
    </row>
    <row r="399" customFormat="false" ht="15" hidden="false" customHeight="true" outlineLevel="0" collapsed="false">
      <c r="A399" s="8"/>
      <c r="B399" s="9"/>
      <c r="C399" s="9"/>
      <c r="D399" s="8"/>
      <c r="E399" s="9"/>
      <c r="F399" s="9"/>
      <c r="G399" s="9"/>
    </row>
    <row r="400" customFormat="false" ht="15" hidden="false" customHeight="true" outlineLevel="0" collapsed="false">
      <c r="A400" s="8"/>
      <c r="B400" s="9"/>
      <c r="C400" s="9"/>
      <c r="D400" s="8"/>
      <c r="E400" s="9"/>
      <c r="F400" s="9"/>
      <c r="G400" s="9"/>
    </row>
    <row r="401" customFormat="false" ht="15" hidden="false" customHeight="true" outlineLevel="0" collapsed="false">
      <c r="A401" s="8"/>
      <c r="B401" s="9"/>
      <c r="C401" s="9"/>
      <c r="D401" s="8"/>
      <c r="E401" s="9"/>
      <c r="F401" s="9"/>
      <c r="G401" s="9"/>
    </row>
    <row r="402" customFormat="false" ht="15" hidden="false" customHeight="true" outlineLevel="0" collapsed="false">
      <c r="A402" s="8"/>
      <c r="B402" s="9"/>
      <c r="C402" s="9"/>
      <c r="D402" s="8"/>
      <c r="E402" s="9"/>
      <c r="F402" s="9"/>
      <c r="G402" s="9"/>
    </row>
    <row r="403" customFormat="false" ht="15" hidden="false" customHeight="true" outlineLevel="0" collapsed="false">
      <c r="A403" s="8"/>
      <c r="B403" s="9"/>
      <c r="C403" s="9"/>
      <c r="D403" s="8"/>
      <c r="E403" s="9"/>
      <c r="F403" s="9"/>
      <c r="G403" s="9"/>
    </row>
    <row r="404" customFormat="false" ht="15" hidden="false" customHeight="true" outlineLevel="0" collapsed="false">
      <c r="A404" s="8"/>
      <c r="B404" s="9"/>
      <c r="C404" s="9"/>
      <c r="D404" s="8"/>
      <c r="E404" s="9"/>
      <c r="F404" s="9"/>
      <c r="G404" s="9"/>
    </row>
    <row r="405" customFormat="false" ht="15" hidden="false" customHeight="true" outlineLevel="0" collapsed="false">
      <c r="A405" s="8"/>
      <c r="B405" s="9"/>
      <c r="C405" s="9"/>
      <c r="D405" s="8"/>
      <c r="E405" s="9"/>
      <c r="F405" s="9"/>
      <c r="G405" s="9"/>
    </row>
    <row r="406" customFormat="false" ht="15" hidden="false" customHeight="true" outlineLevel="0" collapsed="false">
      <c r="A406" s="8"/>
      <c r="B406" s="9"/>
      <c r="C406" s="9"/>
      <c r="D406" s="8"/>
      <c r="E406" s="9"/>
      <c r="F406" s="9"/>
      <c r="G406" s="9"/>
    </row>
    <row r="407" customFormat="false" ht="15" hidden="false" customHeight="true" outlineLevel="0" collapsed="false">
      <c r="A407" s="8"/>
      <c r="B407" s="9"/>
      <c r="C407" s="9"/>
      <c r="D407" s="8"/>
      <c r="E407" s="9"/>
      <c r="F407" s="9"/>
      <c r="G407" s="9"/>
    </row>
    <row r="408" customFormat="false" ht="15" hidden="false" customHeight="true" outlineLevel="0" collapsed="false">
      <c r="A408" s="8"/>
      <c r="B408" s="9"/>
      <c r="C408" s="9"/>
      <c r="D408" s="8"/>
      <c r="E408" s="9"/>
      <c r="F408" s="9"/>
      <c r="G408" s="9"/>
    </row>
    <row r="409" customFormat="false" ht="15" hidden="false" customHeight="true" outlineLevel="0" collapsed="false">
      <c r="A409" s="8"/>
      <c r="B409" s="9"/>
      <c r="C409" s="9"/>
      <c r="D409" s="8"/>
      <c r="E409" s="9"/>
      <c r="F409" s="9"/>
      <c r="G409" s="9"/>
    </row>
    <row r="410" customFormat="false" ht="15" hidden="false" customHeight="true" outlineLevel="0" collapsed="false">
      <c r="A410" s="8"/>
      <c r="B410" s="9"/>
      <c r="C410" s="9"/>
      <c r="D410" s="8"/>
      <c r="E410" s="9"/>
      <c r="F410" s="9"/>
      <c r="G410" s="9"/>
    </row>
    <row r="411" customFormat="false" ht="15" hidden="false" customHeight="true" outlineLevel="0" collapsed="false">
      <c r="A411" s="8"/>
      <c r="B411" s="9"/>
      <c r="C411" s="9"/>
      <c r="D411" s="8"/>
      <c r="E411" s="9"/>
      <c r="F411" s="9"/>
      <c r="G411" s="9"/>
    </row>
    <row r="412" customFormat="false" ht="15" hidden="false" customHeight="true" outlineLevel="0" collapsed="false">
      <c r="A412" s="8"/>
      <c r="B412" s="9"/>
      <c r="C412" s="9"/>
      <c r="D412" s="8"/>
      <c r="E412" s="9"/>
      <c r="F412" s="9"/>
      <c r="G412" s="9"/>
    </row>
    <row r="413" customFormat="false" ht="15" hidden="false" customHeight="true" outlineLevel="0" collapsed="false">
      <c r="A413" s="8"/>
      <c r="B413" s="9"/>
      <c r="C413" s="9"/>
      <c r="D413" s="8"/>
      <c r="E413" s="9"/>
      <c r="F413" s="9"/>
      <c r="G413" s="9"/>
    </row>
    <row r="414" customFormat="false" ht="15" hidden="false" customHeight="true" outlineLevel="0" collapsed="false">
      <c r="A414" s="8"/>
      <c r="B414" s="9"/>
      <c r="C414" s="9"/>
      <c r="D414" s="8"/>
      <c r="E414" s="9"/>
      <c r="F414" s="9"/>
      <c r="G414" s="9"/>
    </row>
    <row r="415" customFormat="false" ht="15" hidden="false" customHeight="true" outlineLevel="0" collapsed="false">
      <c r="A415" s="8"/>
      <c r="B415" s="9"/>
      <c r="C415" s="9"/>
      <c r="D415" s="8"/>
      <c r="E415" s="9"/>
      <c r="F415" s="9"/>
      <c r="G415" s="9"/>
    </row>
    <row r="416" customFormat="false" ht="15" hidden="false" customHeight="true" outlineLevel="0" collapsed="false">
      <c r="A416" s="8"/>
      <c r="B416" s="9"/>
      <c r="C416" s="9"/>
      <c r="D416" s="8"/>
      <c r="E416" s="9"/>
      <c r="F416" s="9"/>
      <c r="G416" s="9"/>
    </row>
    <row r="417" customFormat="false" ht="15" hidden="false" customHeight="true" outlineLevel="0" collapsed="false">
      <c r="A417" s="8"/>
      <c r="B417" s="9"/>
      <c r="C417" s="9"/>
      <c r="D417" s="8"/>
      <c r="E417" s="9"/>
      <c r="F417" s="9"/>
      <c r="G417" s="9"/>
    </row>
    <row r="418" customFormat="false" ht="15" hidden="false" customHeight="true" outlineLevel="0" collapsed="false">
      <c r="A418" s="8"/>
      <c r="B418" s="9"/>
      <c r="C418" s="9"/>
      <c r="D418" s="8"/>
      <c r="E418" s="9"/>
      <c r="F418" s="9"/>
      <c r="G418" s="9"/>
    </row>
    <row r="419" customFormat="false" ht="15" hidden="false" customHeight="true" outlineLevel="0" collapsed="false">
      <c r="A419" s="8"/>
      <c r="B419" s="9"/>
      <c r="C419" s="9"/>
      <c r="D419" s="8"/>
      <c r="E419" s="9"/>
      <c r="F419" s="9"/>
      <c r="G419" s="9"/>
    </row>
    <row r="420" customFormat="false" ht="15" hidden="false" customHeight="true" outlineLevel="0" collapsed="false">
      <c r="A420" s="8"/>
      <c r="B420" s="9"/>
      <c r="C420" s="9"/>
      <c r="D420" s="8"/>
      <c r="E420" s="9"/>
      <c r="F420" s="9"/>
      <c r="G420" s="9"/>
    </row>
    <row r="421" customFormat="false" ht="15" hidden="false" customHeight="true" outlineLevel="0" collapsed="false">
      <c r="A421" s="8"/>
      <c r="B421" s="9"/>
      <c r="C421" s="9"/>
      <c r="D421" s="8"/>
      <c r="E421" s="9"/>
      <c r="F421" s="9"/>
      <c r="G421" s="9"/>
    </row>
    <row r="422" customFormat="false" ht="15" hidden="false" customHeight="true" outlineLevel="0" collapsed="false">
      <c r="A422" s="8"/>
      <c r="B422" s="9"/>
      <c r="C422" s="9"/>
      <c r="D422" s="8"/>
      <c r="E422" s="9"/>
      <c r="F422" s="9"/>
      <c r="G422" s="9"/>
    </row>
    <row r="423" customFormat="false" ht="15" hidden="false" customHeight="true" outlineLevel="0" collapsed="false">
      <c r="A423" s="8"/>
      <c r="B423" s="9"/>
      <c r="C423" s="9"/>
      <c r="D423" s="8"/>
      <c r="E423" s="9"/>
      <c r="F423" s="9"/>
      <c r="G423" s="9"/>
    </row>
    <row r="424" customFormat="false" ht="15" hidden="false" customHeight="true" outlineLevel="0" collapsed="false">
      <c r="A424" s="8"/>
      <c r="B424" s="9"/>
      <c r="C424" s="9"/>
      <c r="D424" s="8"/>
      <c r="E424" s="9"/>
      <c r="F424" s="9"/>
      <c r="G424" s="9"/>
    </row>
    <row r="425" customFormat="false" ht="15" hidden="false" customHeight="true" outlineLevel="0" collapsed="false">
      <c r="A425" s="8"/>
      <c r="B425" s="9"/>
      <c r="C425" s="9"/>
      <c r="D425" s="8"/>
      <c r="E425" s="9"/>
      <c r="F425" s="9"/>
      <c r="G425" s="9"/>
    </row>
    <row r="426" customFormat="false" ht="15" hidden="false" customHeight="true" outlineLevel="0" collapsed="false">
      <c r="A426" s="8"/>
      <c r="B426" s="9"/>
      <c r="C426" s="9"/>
      <c r="D426" s="8"/>
      <c r="E426" s="9"/>
      <c r="F426" s="9"/>
      <c r="G426" s="9"/>
    </row>
    <row r="427" customFormat="false" ht="15" hidden="false" customHeight="true" outlineLevel="0" collapsed="false">
      <c r="A427" s="8"/>
      <c r="B427" s="9"/>
      <c r="C427" s="9"/>
      <c r="D427" s="8"/>
      <c r="E427" s="9"/>
      <c r="F427" s="9"/>
      <c r="G427" s="9"/>
    </row>
    <row r="428" customFormat="false" ht="15" hidden="false" customHeight="true" outlineLevel="0" collapsed="false">
      <c r="A428" s="8"/>
      <c r="B428" s="9"/>
      <c r="C428" s="9"/>
      <c r="D428" s="8"/>
      <c r="E428" s="9"/>
      <c r="F428" s="9"/>
      <c r="G428" s="9"/>
    </row>
    <row r="429" customFormat="false" ht="15" hidden="false" customHeight="true" outlineLevel="0" collapsed="false">
      <c r="A429" s="8"/>
      <c r="B429" s="9"/>
      <c r="C429" s="9"/>
      <c r="D429" s="8"/>
      <c r="E429" s="9"/>
      <c r="F429" s="9"/>
      <c r="G429" s="9"/>
    </row>
    <row r="430" customFormat="false" ht="15" hidden="false" customHeight="true" outlineLevel="0" collapsed="false">
      <c r="A430" s="8"/>
      <c r="B430" s="9"/>
      <c r="C430" s="9"/>
      <c r="D430" s="8"/>
      <c r="E430" s="9"/>
      <c r="F430" s="9"/>
      <c r="G430" s="9"/>
    </row>
    <row r="431" customFormat="false" ht="15" hidden="false" customHeight="true" outlineLevel="0" collapsed="false">
      <c r="A431" s="8"/>
      <c r="B431" s="9"/>
      <c r="C431" s="9"/>
      <c r="D431" s="8"/>
      <c r="E431" s="9"/>
      <c r="F431" s="9"/>
      <c r="G431" s="9"/>
    </row>
    <row r="432" customFormat="false" ht="15" hidden="false" customHeight="true" outlineLevel="0" collapsed="false">
      <c r="A432" s="8"/>
      <c r="B432" s="9"/>
      <c r="C432" s="9"/>
      <c r="D432" s="8"/>
      <c r="E432" s="9"/>
      <c r="F432" s="9"/>
      <c r="G432" s="9"/>
    </row>
    <row r="433" customFormat="false" ht="15" hidden="false" customHeight="true" outlineLevel="0" collapsed="false">
      <c r="A433" s="8"/>
      <c r="B433" s="9"/>
      <c r="C433" s="9"/>
      <c r="D433" s="8"/>
      <c r="E433" s="9"/>
      <c r="F433" s="9"/>
      <c r="G433" s="9"/>
    </row>
    <row r="434" customFormat="false" ht="15" hidden="false" customHeight="true" outlineLevel="0" collapsed="false">
      <c r="A434" s="8"/>
      <c r="B434" s="9"/>
      <c r="C434" s="9"/>
      <c r="D434" s="8"/>
      <c r="E434" s="9"/>
      <c r="F434" s="9"/>
      <c r="G434" s="9"/>
    </row>
    <row r="435" customFormat="false" ht="15" hidden="false" customHeight="true" outlineLevel="0" collapsed="false">
      <c r="A435" s="8"/>
      <c r="B435" s="9"/>
      <c r="C435" s="9"/>
      <c r="D435" s="8"/>
      <c r="E435" s="9"/>
      <c r="F435" s="9"/>
      <c r="G435" s="9"/>
    </row>
    <row r="436" customFormat="false" ht="15" hidden="false" customHeight="true" outlineLevel="0" collapsed="false">
      <c r="A436" s="8"/>
      <c r="B436" s="9"/>
      <c r="C436" s="9"/>
      <c r="D436" s="8"/>
      <c r="E436" s="9"/>
      <c r="F436" s="9"/>
      <c r="G436" s="9"/>
    </row>
    <row r="437" customFormat="false" ht="15" hidden="false" customHeight="true" outlineLevel="0" collapsed="false">
      <c r="A437" s="8"/>
      <c r="B437" s="9"/>
      <c r="C437" s="9"/>
      <c r="D437" s="8"/>
      <c r="E437" s="9"/>
      <c r="F437" s="9"/>
      <c r="G437" s="9"/>
    </row>
    <row r="438" customFormat="false" ht="15" hidden="false" customHeight="true" outlineLevel="0" collapsed="false">
      <c r="A438" s="8"/>
      <c r="B438" s="9"/>
      <c r="C438" s="9"/>
      <c r="D438" s="8"/>
      <c r="E438" s="9"/>
      <c r="F438" s="9"/>
      <c r="G438" s="9"/>
    </row>
    <row r="439" customFormat="false" ht="15" hidden="false" customHeight="true" outlineLevel="0" collapsed="false">
      <c r="A439" s="8"/>
      <c r="B439" s="9"/>
      <c r="C439" s="9"/>
      <c r="D439" s="8"/>
      <c r="E439" s="9"/>
      <c r="F439" s="9"/>
      <c r="G439" s="9"/>
    </row>
    <row r="440" customFormat="false" ht="15" hidden="false" customHeight="true" outlineLevel="0" collapsed="false">
      <c r="A440" s="8"/>
      <c r="B440" s="9"/>
      <c r="C440" s="9"/>
      <c r="D440" s="8"/>
      <c r="E440" s="9"/>
      <c r="F440" s="9"/>
      <c r="G440" s="9"/>
    </row>
    <row r="441" customFormat="false" ht="15" hidden="false" customHeight="true" outlineLevel="0" collapsed="false">
      <c r="A441" s="8"/>
      <c r="B441" s="9"/>
      <c r="C441" s="9"/>
      <c r="D441" s="8"/>
      <c r="E441" s="9"/>
      <c r="F441" s="9"/>
      <c r="G441" s="9"/>
    </row>
    <row r="442" customFormat="false" ht="15" hidden="false" customHeight="true" outlineLevel="0" collapsed="false">
      <c r="A442" s="8"/>
      <c r="B442" s="9"/>
      <c r="C442" s="9"/>
      <c r="D442" s="8"/>
      <c r="E442" s="9"/>
      <c r="F442" s="9"/>
      <c r="G442" s="9"/>
    </row>
    <row r="443" customFormat="false" ht="15" hidden="false" customHeight="true" outlineLevel="0" collapsed="false">
      <c r="A443" s="8"/>
      <c r="B443" s="9"/>
      <c r="C443" s="9"/>
      <c r="D443" s="8"/>
      <c r="E443" s="9"/>
      <c r="F443" s="9"/>
      <c r="G443" s="9"/>
    </row>
    <row r="444" customFormat="false" ht="15" hidden="false" customHeight="true" outlineLevel="0" collapsed="false">
      <c r="A444" s="8"/>
      <c r="B444" s="9"/>
      <c r="C444" s="9"/>
      <c r="D444" s="8"/>
      <c r="E444" s="9"/>
      <c r="F444" s="9"/>
      <c r="G444" s="9"/>
    </row>
    <row r="445" customFormat="false" ht="15" hidden="false" customHeight="true" outlineLevel="0" collapsed="false">
      <c r="A445" s="8"/>
      <c r="B445" s="9"/>
      <c r="C445" s="9"/>
      <c r="D445" s="8"/>
      <c r="E445" s="9"/>
      <c r="F445" s="9"/>
      <c r="G445" s="9"/>
    </row>
    <row r="446" customFormat="false" ht="15" hidden="false" customHeight="true" outlineLevel="0" collapsed="false">
      <c r="A446" s="8"/>
      <c r="B446" s="9"/>
      <c r="C446" s="9"/>
      <c r="D446" s="8"/>
      <c r="E446" s="9"/>
      <c r="F446" s="9"/>
      <c r="G446" s="9"/>
    </row>
    <row r="447" customFormat="false" ht="15" hidden="false" customHeight="true" outlineLevel="0" collapsed="false">
      <c r="A447" s="8"/>
      <c r="B447" s="9"/>
      <c r="C447" s="9"/>
      <c r="D447" s="8"/>
      <c r="E447" s="9"/>
      <c r="F447" s="9"/>
      <c r="G447" s="9"/>
    </row>
    <row r="448" customFormat="false" ht="15" hidden="false" customHeight="true" outlineLevel="0" collapsed="false">
      <c r="A448" s="8"/>
      <c r="B448" s="9"/>
      <c r="C448" s="9"/>
      <c r="D448" s="8"/>
      <c r="E448" s="9"/>
      <c r="F448" s="9"/>
      <c r="G448" s="9"/>
    </row>
    <row r="449" customFormat="false" ht="15" hidden="false" customHeight="true" outlineLevel="0" collapsed="false">
      <c r="A449" s="8"/>
      <c r="B449" s="9"/>
      <c r="C449" s="9"/>
      <c r="D449" s="8"/>
      <c r="E449" s="9"/>
      <c r="F449" s="9"/>
      <c r="G449" s="9"/>
    </row>
    <row r="450" customFormat="false" ht="15" hidden="false" customHeight="true" outlineLevel="0" collapsed="false">
      <c r="A450" s="8"/>
      <c r="B450" s="9"/>
      <c r="C450" s="9"/>
      <c r="D450" s="8"/>
      <c r="E450" s="9"/>
      <c r="F450" s="9"/>
      <c r="G450" s="9"/>
    </row>
    <row r="451" customFormat="false" ht="15" hidden="false" customHeight="true" outlineLevel="0" collapsed="false">
      <c r="A451" s="8"/>
      <c r="B451" s="9"/>
      <c r="C451" s="9"/>
      <c r="D451" s="8"/>
      <c r="E451" s="9"/>
      <c r="F451" s="9"/>
      <c r="G451" s="9"/>
    </row>
    <row r="452" customFormat="false" ht="15" hidden="false" customHeight="true" outlineLevel="0" collapsed="false">
      <c r="A452" s="8"/>
      <c r="B452" s="9"/>
      <c r="C452" s="9"/>
      <c r="D452" s="8"/>
      <c r="E452" s="9"/>
      <c r="F452" s="9"/>
      <c r="G452" s="9"/>
    </row>
    <row r="453" customFormat="false" ht="15" hidden="false" customHeight="true" outlineLevel="0" collapsed="false">
      <c r="A453" s="8"/>
      <c r="B453" s="9"/>
      <c r="C453" s="9"/>
      <c r="D453" s="8"/>
      <c r="E453" s="9"/>
      <c r="F453" s="9"/>
      <c r="G453" s="9"/>
    </row>
    <row r="454" customFormat="false" ht="15" hidden="false" customHeight="true" outlineLevel="0" collapsed="false">
      <c r="A454" s="8"/>
      <c r="B454" s="9"/>
      <c r="C454" s="9"/>
      <c r="D454" s="8"/>
      <c r="E454" s="9"/>
      <c r="F454" s="9"/>
      <c r="G454" s="9"/>
    </row>
    <row r="455" customFormat="false" ht="15" hidden="false" customHeight="true" outlineLevel="0" collapsed="false">
      <c r="A455" s="8"/>
      <c r="B455" s="9"/>
      <c r="C455" s="9"/>
      <c r="D455" s="8"/>
      <c r="E455" s="9"/>
      <c r="F455" s="9"/>
      <c r="G455" s="9"/>
    </row>
    <row r="456" customFormat="false" ht="15" hidden="false" customHeight="true" outlineLevel="0" collapsed="false">
      <c r="A456" s="8"/>
      <c r="B456" s="9"/>
      <c r="C456" s="9"/>
      <c r="D456" s="8"/>
      <c r="E456" s="9"/>
      <c r="F456" s="9"/>
      <c r="G456" s="9"/>
    </row>
    <row r="457" customFormat="false" ht="15" hidden="false" customHeight="true" outlineLevel="0" collapsed="false">
      <c r="A457" s="8"/>
      <c r="B457" s="9"/>
      <c r="C457" s="9"/>
      <c r="D457" s="8"/>
      <c r="E457" s="9"/>
      <c r="F457" s="9"/>
      <c r="G457" s="9"/>
    </row>
    <row r="458" customFormat="false" ht="15" hidden="false" customHeight="true" outlineLevel="0" collapsed="false">
      <c r="A458" s="8"/>
      <c r="B458" s="9"/>
      <c r="C458" s="9"/>
      <c r="D458" s="8"/>
      <c r="E458" s="9"/>
      <c r="F458" s="9"/>
      <c r="G458" s="9"/>
    </row>
    <row r="459" customFormat="false" ht="15" hidden="false" customHeight="true" outlineLevel="0" collapsed="false">
      <c r="A459" s="8"/>
      <c r="B459" s="9"/>
      <c r="C459" s="9"/>
      <c r="D459" s="8"/>
      <c r="E459" s="9"/>
      <c r="F459" s="9"/>
      <c r="G459" s="9"/>
    </row>
    <row r="460" customFormat="false" ht="15" hidden="false" customHeight="true" outlineLevel="0" collapsed="false">
      <c r="A460" s="8"/>
      <c r="B460" s="9"/>
      <c r="C460" s="9"/>
      <c r="D460" s="8"/>
      <c r="E460" s="9"/>
      <c r="F460" s="9"/>
      <c r="G460" s="9"/>
    </row>
    <row r="461" customFormat="false" ht="15" hidden="false" customHeight="true" outlineLevel="0" collapsed="false">
      <c r="A461" s="8"/>
      <c r="B461" s="9"/>
      <c r="C461" s="9"/>
      <c r="D461" s="8"/>
      <c r="E461" s="9"/>
      <c r="F461" s="9"/>
      <c r="G461" s="9"/>
    </row>
    <row r="462" customFormat="false" ht="15" hidden="false" customHeight="true" outlineLevel="0" collapsed="false">
      <c r="A462" s="8"/>
      <c r="B462" s="9"/>
      <c r="C462" s="9"/>
      <c r="D462" s="8"/>
      <c r="E462" s="9"/>
      <c r="F462" s="9"/>
      <c r="G462" s="9"/>
    </row>
    <row r="463" customFormat="false" ht="15" hidden="false" customHeight="true" outlineLevel="0" collapsed="false">
      <c r="A463" s="8"/>
      <c r="B463" s="9"/>
      <c r="C463" s="9"/>
      <c r="D463" s="8"/>
      <c r="E463" s="9"/>
      <c r="F463" s="9"/>
      <c r="G463" s="9"/>
    </row>
    <row r="464" customFormat="false" ht="15" hidden="false" customHeight="true" outlineLevel="0" collapsed="false">
      <c r="A464" s="8"/>
      <c r="B464" s="9"/>
      <c r="C464" s="9"/>
      <c r="D464" s="8"/>
      <c r="E464" s="9"/>
      <c r="F464" s="9"/>
      <c r="G464" s="9"/>
    </row>
    <row r="465" customFormat="false" ht="15" hidden="false" customHeight="true" outlineLevel="0" collapsed="false">
      <c r="A465" s="8"/>
      <c r="B465" s="9"/>
      <c r="C465" s="9"/>
      <c r="D465" s="8"/>
      <c r="E465" s="9"/>
      <c r="F465" s="9"/>
      <c r="G465" s="9"/>
    </row>
    <row r="466" customFormat="false" ht="15" hidden="false" customHeight="true" outlineLevel="0" collapsed="false">
      <c r="A466" s="8"/>
      <c r="B466" s="9"/>
      <c r="C466" s="9"/>
      <c r="D466" s="8"/>
      <c r="E466" s="9"/>
      <c r="F466" s="9"/>
      <c r="G466" s="9"/>
    </row>
    <row r="467" customFormat="false" ht="15" hidden="false" customHeight="true" outlineLevel="0" collapsed="false">
      <c r="A467" s="8"/>
      <c r="B467" s="9"/>
      <c r="C467" s="9"/>
      <c r="D467" s="8"/>
      <c r="E467" s="9"/>
      <c r="F467" s="9"/>
      <c r="G467" s="9"/>
    </row>
    <row r="468" customFormat="false" ht="15" hidden="false" customHeight="true" outlineLevel="0" collapsed="false">
      <c r="A468" s="8"/>
      <c r="B468" s="9"/>
      <c r="C468" s="9"/>
      <c r="D468" s="8"/>
      <c r="E468" s="9"/>
      <c r="F468" s="9"/>
      <c r="G468" s="9"/>
    </row>
    <row r="469" customFormat="false" ht="15" hidden="false" customHeight="true" outlineLevel="0" collapsed="false">
      <c r="A469" s="8"/>
      <c r="B469" s="9"/>
      <c r="C469" s="9"/>
      <c r="D469" s="8"/>
      <c r="E469" s="9"/>
      <c r="F469" s="9"/>
      <c r="G469" s="9"/>
    </row>
    <row r="470" customFormat="false" ht="15" hidden="false" customHeight="true" outlineLevel="0" collapsed="false">
      <c r="A470" s="8"/>
      <c r="B470" s="9"/>
      <c r="C470" s="9"/>
      <c r="D470" s="8"/>
      <c r="E470" s="9"/>
      <c r="F470" s="9"/>
      <c r="G470" s="9"/>
    </row>
    <row r="471" customFormat="false" ht="15" hidden="false" customHeight="true" outlineLevel="0" collapsed="false">
      <c r="A471" s="8"/>
      <c r="B471" s="9"/>
      <c r="C471" s="9"/>
      <c r="D471" s="8"/>
      <c r="E471" s="9"/>
      <c r="F471" s="9"/>
      <c r="G471" s="9"/>
    </row>
    <row r="472" customFormat="false" ht="15" hidden="false" customHeight="true" outlineLevel="0" collapsed="false">
      <c r="A472" s="8"/>
      <c r="B472" s="9"/>
      <c r="C472" s="9"/>
      <c r="D472" s="8"/>
      <c r="E472" s="9"/>
      <c r="F472" s="9"/>
      <c r="G472" s="9"/>
    </row>
    <row r="473" customFormat="false" ht="15" hidden="false" customHeight="true" outlineLevel="0" collapsed="false">
      <c r="A473" s="8"/>
      <c r="B473" s="9"/>
      <c r="C473" s="9"/>
      <c r="D473" s="8"/>
      <c r="E473" s="9"/>
      <c r="F473" s="9"/>
      <c r="G473" s="9"/>
    </row>
    <row r="474" customFormat="false" ht="15" hidden="false" customHeight="true" outlineLevel="0" collapsed="false">
      <c r="A474" s="8"/>
      <c r="B474" s="9"/>
      <c r="C474" s="9"/>
      <c r="D474" s="8"/>
      <c r="E474" s="9"/>
      <c r="F474" s="9"/>
      <c r="G474" s="9"/>
    </row>
    <row r="475" customFormat="false" ht="15" hidden="false" customHeight="true" outlineLevel="0" collapsed="false">
      <c r="A475" s="8"/>
      <c r="B475" s="9"/>
      <c r="C475" s="9"/>
      <c r="D475" s="8"/>
      <c r="E475" s="9"/>
      <c r="F475" s="9"/>
      <c r="G475" s="9"/>
    </row>
    <row r="476" customFormat="false" ht="15" hidden="false" customHeight="true" outlineLevel="0" collapsed="false">
      <c r="A476" s="8"/>
      <c r="B476" s="9"/>
      <c r="C476" s="9"/>
      <c r="D476" s="8"/>
      <c r="E476" s="9"/>
      <c r="F476" s="9"/>
      <c r="G476" s="9"/>
    </row>
    <row r="477" customFormat="false" ht="15" hidden="false" customHeight="true" outlineLevel="0" collapsed="false">
      <c r="A477" s="8"/>
      <c r="B477" s="9"/>
      <c r="C477" s="9"/>
      <c r="D477" s="8"/>
      <c r="E477" s="9"/>
      <c r="F477" s="9"/>
      <c r="G477" s="9"/>
    </row>
    <row r="478" customFormat="false" ht="15" hidden="false" customHeight="true" outlineLevel="0" collapsed="false">
      <c r="A478" s="8"/>
      <c r="B478" s="9"/>
      <c r="C478" s="9"/>
      <c r="D478" s="8"/>
      <c r="E478" s="9"/>
      <c r="F478" s="9"/>
      <c r="G478" s="9"/>
    </row>
    <row r="479" customFormat="false" ht="15" hidden="false" customHeight="true" outlineLevel="0" collapsed="false">
      <c r="A479" s="8"/>
      <c r="B479" s="9"/>
      <c r="C479" s="9"/>
      <c r="D479" s="8"/>
      <c r="E479" s="9"/>
      <c r="F479" s="9"/>
      <c r="G479" s="9"/>
    </row>
    <row r="480" customFormat="false" ht="15" hidden="false" customHeight="true" outlineLevel="0" collapsed="false">
      <c r="A480" s="8"/>
      <c r="B480" s="9"/>
      <c r="C480" s="9"/>
      <c r="D480" s="8"/>
      <c r="E480" s="9"/>
      <c r="F480" s="9"/>
      <c r="G480" s="9"/>
    </row>
    <row r="481" customFormat="false" ht="15" hidden="false" customHeight="true" outlineLevel="0" collapsed="false">
      <c r="A481" s="8"/>
      <c r="B481" s="9"/>
      <c r="C481" s="9"/>
      <c r="D481" s="8"/>
      <c r="E481" s="9"/>
      <c r="F481" s="9"/>
      <c r="G481" s="9"/>
    </row>
    <row r="482" customFormat="false" ht="15" hidden="false" customHeight="true" outlineLevel="0" collapsed="false">
      <c r="A482" s="8"/>
      <c r="B482" s="9"/>
      <c r="C482" s="9"/>
      <c r="D482" s="8"/>
      <c r="E482" s="9"/>
      <c r="F482" s="9"/>
      <c r="G482" s="9"/>
    </row>
    <row r="483" customFormat="false" ht="15" hidden="false" customHeight="true" outlineLevel="0" collapsed="false">
      <c r="A483" s="8"/>
      <c r="B483" s="9"/>
      <c r="C483" s="9"/>
      <c r="D483" s="8"/>
      <c r="E483" s="9"/>
      <c r="F483" s="9"/>
      <c r="G483" s="9"/>
    </row>
    <row r="484" customFormat="false" ht="15" hidden="false" customHeight="true" outlineLevel="0" collapsed="false">
      <c r="A484" s="8"/>
      <c r="B484" s="9"/>
      <c r="C484" s="9"/>
      <c r="D484" s="8"/>
      <c r="E484" s="9"/>
      <c r="F484" s="9"/>
      <c r="G484" s="9"/>
    </row>
    <row r="485" customFormat="false" ht="15" hidden="false" customHeight="true" outlineLevel="0" collapsed="false">
      <c r="A485" s="8"/>
      <c r="B485" s="9"/>
      <c r="C485" s="9"/>
      <c r="D485" s="8"/>
      <c r="E485" s="9"/>
      <c r="F485" s="9"/>
      <c r="G485" s="9"/>
    </row>
    <row r="486" customFormat="false" ht="15" hidden="false" customHeight="true" outlineLevel="0" collapsed="false">
      <c r="A486" s="8"/>
      <c r="B486" s="9"/>
      <c r="C486" s="9"/>
      <c r="D486" s="8"/>
      <c r="E486" s="9"/>
      <c r="F486" s="9"/>
      <c r="G486" s="9"/>
    </row>
    <row r="487" customFormat="false" ht="15" hidden="false" customHeight="true" outlineLevel="0" collapsed="false">
      <c r="A487" s="8"/>
      <c r="B487" s="9"/>
      <c r="C487" s="9"/>
      <c r="D487" s="8"/>
      <c r="E487" s="9"/>
      <c r="F487" s="9"/>
      <c r="G487" s="9"/>
    </row>
    <row r="488" customFormat="false" ht="15" hidden="false" customHeight="true" outlineLevel="0" collapsed="false">
      <c r="A488" s="8"/>
      <c r="B488" s="9"/>
      <c r="C488" s="9"/>
      <c r="D488" s="8"/>
      <c r="E488" s="9"/>
      <c r="F488" s="9"/>
      <c r="G488" s="9"/>
    </row>
    <row r="489" customFormat="false" ht="15" hidden="false" customHeight="true" outlineLevel="0" collapsed="false">
      <c r="A489" s="8"/>
      <c r="B489" s="9"/>
      <c r="C489" s="9"/>
      <c r="D489" s="8"/>
      <c r="E489" s="9"/>
      <c r="F489" s="9"/>
      <c r="G489" s="9"/>
    </row>
    <row r="490" customFormat="false" ht="15" hidden="false" customHeight="true" outlineLevel="0" collapsed="false">
      <c r="A490" s="8"/>
      <c r="B490" s="9"/>
      <c r="C490" s="9"/>
      <c r="D490" s="8"/>
      <c r="E490" s="9"/>
      <c r="F490" s="9"/>
      <c r="G490" s="9"/>
    </row>
    <row r="491" customFormat="false" ht="15" hidden="false" customHeight="true" outlineLevel="0" collapsed="false">
      <c r="A491" s="8"/>
      <c r="B491" s="9"/>
      <c r="C491" s="9"/>
      <c r="D491" s="8"/>
      <c r="E491" s="9"/>
      <c r="F491" s="9"/>
      <c r="G491" s="9"/>
    </row>
    <row r="492" customFormat="false" ht="15" hidden="false" customHeight="true" outlineLevel="0" collapsed="false">
      <c r="A492" s="8"/>
      <c r="B492" s="9"/>
      <c r="C492" s="9"/>
      <c r="D492" s="8"/>
      <c r="E492" s="9"/>
      <c r="F492" s="9"/>
      <c r="G492" s="9"/>
    </row>
    <row r="493" customFormat="false" ht="15" hidden="false" customHeight="true" outlineLevel="0" collapsed="false">
      <c r="A493" s="8"/>
      <c r="B493" s="9"/>
      <c r="C493" s="9"/>
      <c r="D493" s="8"/>
      <c r="E493" s="9"/>
      <c r="F493" s="9"/>
      <c r="G493" s="9"/>
    </row>
    <row r="494" customFormat="false" ht="15" hidden="false" customHeight="true" outlineLevel="0" collapsed="false">
      <c r="A494" s="8"/>
      <c r="B494" s="9"/>
      <c r="C494" s="9"/>
      <c r="D494" s="8"/>
      <c r="E494" s="9"/>
      <c r="F494" s="9"/>
      <c r="G494" s="9"/>
    </row>
    <row r="495" customFormat="false" ht="15" hidden="false" customHeight="true" outlineLevel="0" collapsed="false">
      <c r="A495" s="8"/>
      <c r="B495" s="9"/>
      <c r="C495" s="9"/>
      <c r="D495" s="8"/>
      <c r="E495" s="9"/>
      <c r="F495" s="9"/>
      <c r="G495" s="9"/>
    </row>
    <row r="496" customFormat="false" ht="15" hidden="false" customHeight="true" outlineLevel="0" collapsed="false">
      <c r="A496" s="8"/>
      <c r="B496" s="9"/>
      <c r="C496" s="9"/>
      <c r="D496" s="8"/>
      <c r="E496" s="9"/>
      <c r="F496" s="9"/>
      <c r="G496" s="9"/>
    </row>
    <row r="497" customFormat="false" ht="15" hidden="false" customHeight="true" outlineLevel="0" collapsed="false">
      <c r="A497" s="8"/>
      <c r="B497" s="9"/>
      <c r="C497" s="9"/>
      <c r="D497" s="8"/>
      <c r="E497" s="9"/>
      <c r="F497" s="9"/>
      <c r="G497" s="9"/>
    </row>
    <row r="498" customFormat="false" ht="15" hidden="false" customHeight="true" outlineLevel="0" collapsed="false">
      <c r="A498" s="8"/>
      <c r="B498" s="9"/>
      <c r="C498" s="9"/>
      <c r="D498" s="8"/>
      <c r="E498" s="9"/>
      <c r="F498" s="9"/>
      <c r="G498" s="9"/>
    </row>
    <row r="499" customFormat="false" ht="15" hidden="false" customHeight="true" outlineLevel="0" collapsed="false">
      <c r="A499" s="8"/>
      <c r="B499" s="9"/>
      <c r="C499" s="9"/>
      <c r="D499" s="8"/>
      <c r="E499" s="9"/>
      <c r="F499" s="9"/>
      <c r="G499" s="9"/>
    </row>
    <row r="500" customFormat="false" ht="15" hidden="false" customHeight="true" outlineLevel="0" collapsed="false">
      <c r="A500" s="8"/>
      <c r="B500" s="9"/>
      <c r="C500" s="9"/>
      <c r="D500" s="8"/>
      <c r="E500" s="9"/>
      <c r="F500" s="9"/>
      <c r="G500" s="9"/>
    </row>
    <row r="501" customFormat="false" ht="15" hidden="false" customHeight="true" outlineLevel="0" collapsed="false">
      <c r="A501" s="8"/>
      <c r="B501" s="9"/>
      <c r="C501" s="9"/>
      <c r="D501" s="8"/>
      <c r="E501" s="9"/>
      <c r="F501" s="9"/>
      <c r="G501" s="9"/>
    </row>
    <row r="502" customFormat="false" ht="15" hidden="false" customHeight="true" outlineLevel="0" collapsed="false">
      <c r="A502" s="8"/>
      <c r="B502" s="9"/>
      <c r="C502" s="9"/>
      <c r="D502" s="8"/>
      <c r="E502" s="9"/>
      <c r="F502" s="9"/>
      <c r="G502" s="9"/>
    </row>
    <row r="503" customFormat="false" ht="15" hidden="false" customHeight="true" outlineLevel="0" collapsed="false">
      <c r="A503" s="8"/>
      <c r="B503" s="9"/>
      <c r="C503" s="9"/>
      <c r="D503" s="8"/>
      <c r="E503" s="9"/>
      <c r="F503" s="9"/>
      <c r="G503" s="9"/>
    </row>
  </sheetData>
  <mergeCells count="1">
    <mergeCell ref="A1:G1"/>
  </mergeCells>
  <dataValidations count="3">
    <dataValidation allowBlank="true" error="اكتب تاريخ زي 2026-10-20" errorStyle="stop" operator="greaterThan" showDropDown="false" showErrorMessage="true" showInputMessage="false" sqref="A4:A503 D4:D503" type="date">
      <formula1>44927</formula1>
      <formula2>0</formula2>
    </dataValidation>
    <dataValidation allowBlank="true" error="اختار من القائمة اللي بتنزل" errorStyle="stop" errorTitle="اختيار من القائمة" operator="between" showDropDown="false" showErrorMessage="true" showInputMessage="false" sqref="C4:C503" type="list">
      <formula1>القوائم!$B$2:$B$6</formula1>
      <formula2>0</formula2>
    </dataValidation>
    <dataValidation allowBlank="true" error="اختار من القائمة اللي بتنزل" errorStyle="stop" errorTitle="اختيار من القائمة" operator="between" showDropDown="false" showErrorMessage="true" showInputMessage="false" sqref="E4:E503" type="list">
      <formula1>القوائم!$K$2:$K$9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</cols>
  <sheetData>
    <row r="1" customFormat="false" ht="15" hidden="false" customHeight="true" outlineLevel="0" collapsed="false">
      <c r="A1" s="15" t="s">
        <v>130</v>
      </c>
    </row>
    <row r="3" customFormat="false" ht="15" hidden="false" customHeight="true" outlineLevel="0" collapsed="false">
      <c r="A3" s="16" t="s">
        <v>131</v>
      </c>
    </row>
    <row r="4" customFormat="false" ht="15" hidden="false" customHeight="true" outlineLevel="0" collapsed="false">
      <c r="A4" s="17" t="s">
        <v>132</v>
      </c>
      <c r="B4" s="18" t="n">
        <f aca="false">COUNT(الطلبات!H4:H503)</f>
        <v>35</v>
      </c>
    </row>
    <row r="5" customFormat="false" ht="15" hidden="false" customHeight="true" outlineLevel="0" collapsed="false">
      <c r="A5" s="17" t="s">
        <v>133</v>
      </c>
      <c r="B5" s="19" t="n">
        <f aca="false">SUM(الطلبات!H4:H503)</f>
        <v>1272</v>
      </c>
    </row>
    <row r="6" customFormat="false" ht="15" hidden="false" customHeight="true" outlineLevel="0" collapsed="false">
      <c r="A6" s="17" t="s">
        <v>134</v>
      </c>
      <c r="B6" s="19" t="n">
        <f aca="false">SUMIFS(الطلبات!H4:H503,الطلبات!K4:K503,"اترفض")</f>
        <v>300</v>
      </c>
    </row>
    <row r="7" customFormat="false" ht="15" hidden="false" customHeight="true" outlineLevel="0" collapsed="false">
      <c r="A7" s="17" t="s">
        <v>135</v>
      </c>
      <c r="B7" s="18" t="n">
        <f aca="false">COUNTIF(الطلبات!L4:L503,"&gt;0")</f>
        <v>12</v>
      </c>
    </row>
    <row r="8" customFormat="false" ht="15" hidden="false" customHeight="true" outlineLevel="0" collapsed="false">
      <c r="A8" s="17" t="s">
        <v>136</v>
      </c>
      <c r="B8" s="20" t="n">
        <f aca="false">IFERROR(B7/COUNT(الطلبات!L4:L503),"-")</f>
        <v>0.461538461538462</v>
      </c>
    </row>
    <row r="9" customFormat="false" ht="15" hidden="false" customHeight="true" outlineLevel="0" collapsed="false">
      <c r="A9" s="17" t="s">
        <v>137</v>
      </c>
      <c r="B9" s="21" t="n">
        <f aca="false">IFERROR(AVERAGEIF(الطلبات!L4:L503,"&gt;0"),"-")</f>
        <v>1.41666666666667</v>
      </c>
    </row>
    <row r="10" customFormat="false" ht="15" hidden="false" customHeight="true" outlineLevel="0" collapsed="false">
      <c r="A10" s="17" t="s">
        <v>138</v>
      </c>
      <c r="B10" s="19" t="n">
        <f aca="false">SUMIFS(الطلبات!H4:H503,الطلبات!C4:C503,"تحميص لحساب الغير")</f>
        <v>550</v>
      </c>
    </row>
    <row r="11" customFormat="false" ht="15" hidden="false" customHeight="true" outlineLevel="0" collapsed="false">
      <c r="A11" s="16" t="s">
        <v>139</v>
      </c>
    </row>
    <row r="12" customFormat="false" ht="15" hidden="false" customHeight="true" outlineLevel="0" collapsed="false">
      <c r="A12" s="17" t="s">
        <v>140</v>
      </c>
      <c r="B12" s="18" t="n">
        <f aca="false">COUNT(الدفعات!G4:G503)</f>
        <v>75</v>
      </c>
    </row>
    <row r="13" customFormat="false" ht="15" hidden="false" customHeight="true" outlineLevel="0" collapsed="false">
      <c r="A13" s="17" t="s">
        <v>141</v>
      </c>
      <c r="B13" s="19" t="n">
        <f aca="false">SUM(الدفعات!G4:G503)</f>
        <v>779</v>
      </c>
    </row>
    <row r="14" customFormat="false" ht="15" hidden="false" customHeight="true" outlineLevel="0" collapsed="false">
      <c r="A14" s="17" t="s">
        <v>142</v>
      </c>
      <c r="B14" s="21" t="n">
        <f aca="false">IFERROR(AVERAGE(الدفعات!G4:G503),"-")</f>
        <v>10.3866666666667</v>
      </c>
    </row>
    <row r="15" customFormat="false" ht="15" hidden="false" customHeight="true" outlineLevel="0" collapsed="false">
      <c r="A15" s="17" t="s">
        <v>143</v>
      </c>
      <c r="B15" s="22" t="n">
        <f aca="false">IFERROR(AVERAGEIFS(الدفعات!I4:I503,الدفعات!F4:F503,"أشقر"),"-")</f>
        <v>0.0633928571428571</v>
      </c>
    </row>
    <row r="16" customFormat="false" ht="15" hidden="false" customHeight="true" outlineLevel="0" collapsed="false">
      <c r="A16" s="17" t="s">
        <v>144</v>
      </c>
      <c r="B16" s="22" t="n">
        <f aca="false">IFERROR(AVERAGEIFS(الدفعات!I4:I503,الدفعات!F4:F503,"وسط"),"-")</f>
        <v>0.101319423521735</v>
      </c>
    </row>
    <row r="17" customFormat="false" ht="15" hidden="false" customHeight="true" outlineLevel="0" collapsed="false">
      <c r="A17" s="17" t="s">
        <v>145</v>
      </c>
      <c r="B17" s="22" t="n">
        <f aca="false">IFERROR(AVERAGEIFS(الدفعات!I4:I503,الدفعات!F4:F503,"غامق"),"-")</f>
        <v>0.15</v>
      </c>
    </row>
    <row r="18" customFormat="false" ht="15" hidden="false" customHeight="true" outlineLevel="0" collapsed="false">
      <c r="A18" s="17" t="s">
        <v>146</v>
      </c>
      <c r="B18" s="18" t="n">
        <f aca="false">IFERROR(AVERAGE(الدفعات!J4:J503),"-")</f>
        <v>126.706666666667</v>
      </c>
    </row>
    <row r="19" customFormat="false" ht="15" hidden="false" customHeight="true" outlineLevel="0" collapsed="false">
      <c r="A19" s="16" t="s">
        <v>147</v>
      </c>
    </row>
    <row r="20" customFormat="false" ht="15" hidden="false" customHeight="true" outlineLevel="0" collapsed="false">
      <c r="A20" s="17" t="s">
        <v>148</v>
      </c>
      <c r="B20" s="21" t="n">
        <f aca="false">SUMIFS('الأعطال والغاز'!E4:E503,'الأعطال والغاز'!C4:C503,"عطل")</f>
        <v>24</v>
      </c>
    </row>
    <row r="21" customFormat="false" ht="15" hidden="false" customHeight="true" outlineLevel="0" collapsed="false">
      <c r="A21" s="17" t="s">
        <v>149</v>
      </c>
      <c r="B21" s="18" t="n">
        <f aca="false">COUNTIF('الأعطال والغاز'!C4:C503,"تغيير أنبوبة غاز")</f>
        <v>3</v>
      </c>
    </row>
    <row r="22" customFormat="false" ht="15" hidden="false" customHeight="true" outlineLevel="0" collapsed="false">
      <c r="A22" s="17" t="s">
        <v>150</v>
      </c>
      <c r="B22" s="18" t="n">
        <f aca="false">COUNTA(الشكاوى!A4:A503)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22"/>
  </cols>
  <sheetData>
    <row r="1" customFormat="false" ht="15" hidden="false" customHeight="true" outlineLevel="0" collapsed="false">
      <c r="A1" s="23" t="s">
        <v>151</v>
      </c>
      <c r="B1" s="23" t="s">
        <v>152</v>
      </c>
      <c r="C1" s="23" t="s">
        <v>153</v>
      </c>
      <c r="D1" s="23" t="s">
        <v>154</v>
      </c>
      <c r="E1" s="23" t="s">
        <v>155</v>
      </c>
      <c r="F1" s="23" t="s">
        <v>156</v>
      </c>
      <c r="G1" s="23" t="s">
        <v>157</v>
      </c>
      <c r="H1" s="23" t="s">
        <v>158</v>
      </c>
      <c r="I1" s="23" t="s">
        <v>159</v>
      </c>
      <c r="J1" s="23" t="s">
        <v>160</v>
      </c>
      <c r="K1" s="23" t="s">
        <v>161</v>
      </c>
    </row>
    <row r="2" customFormat="false" ht="15" hidden="false" customHeight="true" outlineLevel="0" collapsed="false">
      <c r="A2" s="24" t="s">
        <v>32</v>
      </c>
      <c r="B2" s="24" t="s">
        <v>33</v>
      </c>
      <c r="C2" s="24" t="s">
        <v>34</v>
      </c>
      <c r="D2" s="24" t="s">
        <v>35</v>
      </c>
      <c r="E2" s="24" t="s">
        <v>70</v>
      </c>
      <c r="F2" s="24" t="s">
        <v>37</v>
      </c>
      <c r="G2" s="24" t="s">
        <v>90</v>
      </c>
      <c r="H2" s="24" t="s">
        <v>88</v>
      </c>
      <c r="I2" s="24" t="s">
        <v>111</v>
      </c>
      <c r="J2" s="24" t="s">
        <v>75</v>
      </c>
      <c r="K2" s="24" t="s">
        <v>119</v>
      </c>
    </row>
    <row r="3" customFormat="false" ht="15" hidden="false" customHeight="true" outlineLevel="0" collapsed="false">
      <c r="A3" s="24" t="s">
        <v>44</v>
      </c>
      <c r="B3" s="24" t="s">
        <v>42</v>
      </c>
      <c r="C3" s="24" t="s">
        <v>50</v>
      </c>
      <c r="D3" s="24" t="s">
        <v>51</v>
      </c>
      <c r="E3" s="24" t="s">
        <v>36</v>
      </c>
      <c r="F3" s="24" t="s">
        <v>162</v>
      </c>
      <c r="G3" s="24" t="s">
        <v>85</v>
      </c>
      <c r="H3" s="24" t="s">
        <v>96</v>
      </c>
      <c r="I3" s="24" t="s">
        <v>108</v>
      </c>
      <c r="J3" s="24" t="s">
        <v>163</v>
      </c>
      <c r="K3" s="24" t="s">
        <v>127</v>
      </c>
    </row>
    <row r="4" customFormat="false" ht="15" hidden="false" customHeight="true" outlineLevel="0" collapsed="false">
      <c r="A4" s="24" t="s">
        <v>48</v>
      </c>
      <c r="B4" s="24" t="s">
        <v>49</v>
      </c>
      <c r="E4" s="24" t="s">
        <v>52</v>
      </c>
      <c r="F4" s="24" t="s">
        <v>164</v>
      </c>
      <c r="G4" s="24" t="s">
        <v>93</v>
      </c>
      <c r="I4" s="24" t="s">
        <v>165</v>
      </c>
      <c r="J4" s="24" t="s">
        <v>166</v>
      </c>
      <c r="K4" s="24" t="s">
        <v>167</v>
      </c>
    </row>
    <row r="5" customFormat="false" ht="15" hidden="false" customHeight="true" outlineLevel="0" collapsed="false">
      <c r="A5" s="24" t="s">
        <v>41</v>
      </c>
      <c r="B5" s="24" t="s">
        <v>69</v>
      </c>
      <c r="F5" s="24" t="s">
        <v>64</v>
      </c>
      <c r="G5" s="24" t="s">
        <v>95</v>
      </c>
      <c r="I5" s="24" t="s">
        <v>168</v>
      </c>
      <c r="J5" s="24" t="s">
        <v>169</v>
      </c>
      <c r="K5" s="24" t="s">
        <v>170</v>
      </c>
    </row>
    <row r="6" customFormat="false" ht="15" hidden="false" customHeight="true" outlineLevel="0" collapsed="false">
      <c r="A6" s="24" t="s">
        <v>55</v>
      </c>
      <c r="B6" s="24" t="s">
        <v>59</v>
      </c>
      <c r="F6" s="24" t="s">
        <v>67</v>
      </c>
      <c r="G6" s="24" t="s">
        <v>69</v>
      </c>
      <c r="I6" s="24" t="s">
        <v>171</v>
      </c>
      <c r="J6" s="24" t="s">
        <v>172</v>
      </c>
      <c r="K6" s="24" t="s">
        <v>173</v>
      </c>
    </row>
    <row r="7" customFormat="false" ht="15" hidden="false" customHeight="true" outlineLevel="0" collapsed="false">
      <c r="A7" s="24" t="s">
        <v>58</v>
      </c>
      <c r="G7" s="24" t="s">
        <v>59</v>
      </c>
      <c r="I7" s="24" t="s">
        <v>174</v>
      </c>
      <c r="K7" s="24" t="s">
        <v>175</v>
      </c>
    </row>
    <row r="8" customFormat="false" ht="15" hidden="false" customHeight="true" outlineLevel="0" collapsed="false">
      <c r="I8" s="24" t="s">
        <v>172</v>
      </c>
      <c r="K8" s="24" t="s">
        <v>122</v>
      </c>
    </row>
    <row r="9" customFormat="false" ht="15" hidden="false" customHeight="true" outlineLevel="0" collapsed="false">
      <c r="K9" s="24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2026-10-17T11:18:00Z</dcterms:created>
  <dc:creator>openpyxl</dc:creator>
  <dc:description/>
  <dc:language>en-US</dc:language>
  <cp:lastModifiedBy/>
  <dcterms:modified xsi:type="dcterms:W3CDTF">2026-10-17T13:16:33Z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